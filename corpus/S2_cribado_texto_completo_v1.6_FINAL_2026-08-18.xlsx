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c76cd8fef445be" /></Relationships>
</file>

<file path=xl/workbook.xml><?xml version="1.0" encoding="utf-8"?>
<x:workbook xmlns:x="http://schemas.openxmlformats.org/spreadsheetml/2006/main">
  <x:sheets>
    <x:sheet xmlns:r="http://schemas.openxmlformats.org/officeDocument/2006/relationships" name="Resumen" sheetId="1" r:id="R3e32c551776b4e55"/>
    <x:sheet xmlns:r="http://schemas.openxmlformats.org/officeDocument/2006/relationships" name="Cribado_S2" sheetId="2" r:id="R4cfe6c87dd974239"/>
    <x:sheet xmlns:r="http://schemas.openxmlformats.org/officeDocument/2006/relationships" name="Lotes" sheetId="3" r:id="R928517899d32466b"/>
    <x:sheet xmlns:r="http://schemas.openxmlformats.org/officeDocument/2006/relationships" name="Semillas" sheetId="4" r:id="Rb163cbba975c4591"/>
    <x:sheet xmlns:r="http://schemas.openxmlformats.org/officeDocument/2006/relationships" name="Criterios" sheetId="5" r:id="Rbf9013b7786d426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0%"/>
    <x:numFmt numFmtId="202" formatCode="000"/>
    <x:numFmt numFmtId="203" formatCode="0"/>
  </x:numFmts>
  <x:fonts count="15">
    <x:font>
      <x:sz val="11"/>
      <x:name val="Carlito"/>
    </x:font>
    <x:font>
      <x:sz val="10"/>
      <x:color rgb="FF1F2937"/>
      <x:name val="Aptos"/>
    </x:font>
    <x:font>
      <x:b/>
      <x:sz val="17"/>
      <x:color rgb="FFFFFFFF"/>
      <x:name val="Aptos Display"/>
    </x:font>
    <x:font>
      <x:sz val="10"/>
      <x:color rgb="FF17324D"/>
      <x:name val="Aptos Display"/>
    </x:font>
    <x:font>
      <x:b/>
      <x:sz val="10"/>
      <x:color rgb="FFFFFFFF"/>
      <x:name val="Aptos"/>
    </x:font>
    <x:font>
      <x:b/>
      <x:sz val="10"/>
      <x:color rgb="FF2563EB"/>
      <x:name val="Aptos"/>
    </x:font>
    <x:font>
      <x:b/>
      <x:sz val="10"/>
      <x:color rgb="FF065F46"/>
      <x:name val="Aptos"/>
    </x:font>
    <x:font>
      <x:b/>
      <x:sz val="10"/>
      <x:color rgb="FF991B1B"/>
      <x:name val="Aptos"/>
    </x:font>
    <x:font>
      <x:i/>
      <x:sz val="10"/>
      <x:color rgb="FF4B5563"/>
      <x:name val="Aptos"/>
    </x:font>
    <x:font>
      <x:sz val="9"/>
      <x:color rgb="FF4B5563"/>
      <x:name val="Aptos"/>
    </x:font>
    <x:font>
      <x:b/>
      <x:sz val="9"/>
      <x:color rgb="FFFFFFFF"/>
      <x:name val="Aptos"/>
    </x:font>
    <x:font>
      <x:sz val="9"/>
      <x:color rgb="FF1F2937"/>
      <x:name val="Aptos"/>
    </x:font>
    <x:font>
      <x:b/>
      <x:sz val="9"/>
      <x:color rgb="FF0F766E"/>
      <x:name val="Aptos"/>
    </x:font>
    <x:font>
      <x:b/>
      <x:sz val="9"/>
      <x:color rgb="FF991B1B"/>
      <x:name val="Aptos"/>
    </x:font>
    <x:font>
      <x:b/>
      <x:sz val="9"/>
      <x:color rgb="FF17324D"/>
      <x:name val="Aptos"/>
    </x:font>
  </x:fonts>
  <x:fills count="10">
    <x:fill>
      <x:patternFill patternType="none"/>
    </x:fill>
    <x:fill>
      <x:patternFill patternType="gray125"/>
    </x:fill>
    <x:fill>
      <x:patternFill patternType="solid">
        <x:fgColor rgb="FF17324D"/>
      </x:patternFill>
    </x:fill>
    <x:fill>
      <x:patternFill patternType="solid">
        <x:fgColor rgb="FFDDF3EF"/>
      </x:patternFill>
    </x:fill>
    <x:fill>
      <x:patternFill patternType="solid">
        <x:fgColor rgb="FF0F766E"/>
      </x:patternFill>
    </x:fill>
    <x:fill>
      <x:patternFill patternType="solid">
        <x:fgColor rgb="FFF3F4F6"/>
      </x:patternFill>
    </x:fill>
    <x:fill>
      <x:patternFill patternType="solid">
        <x:fgColor rgb="FFE8F1FB"/>
      </x:patternFill>
    </x:fill>
    <x:fill>
      <x:patternFill patternType="solid">
        <x:fgColor rgb="FFD1FAE5"/>
      </x:patternFill>
    </x:fill>
    <x:fill>
      <x:patternFill patternType="solid">
        <x:fgColor rgb="FFFEE2E2"/>
      </x:patternFill>
    </x:fill>
    <x:fill>
      <x:patternFill patternType="solid">
        <x:fgColor rgb="FFFFFDF3"/>
      </x:patternFill>
    </x:fill>
  </x:fills>
  <x:borders count="15">
    <x:border/>
    <x:border>
      <x:left style="thin">
        <x:color rgb="FF0F766E"/>
      </x:left>
      <x:top style="thin">
        <x:color rgb="FF0F766E"/>
      </x:top>
      <x:bottom style="thin">
        <x:color rgb="FF0F766E"/>
      </x:bottom>
    </x:border>
    <x:border>
      <x:right style="thin">
        <x:color rgb="FF0F766E"/>
      </x:right>
      <x:top style="thin">
        <x:color rgb="FF0F766E"/>
      </x:top>
      <x:bottom style="thin">
        <x:color rgb="FF0F766E"/>
      </x:bottom>
    </x:border>
    <x:border>
      <x:left style="thin">
        <x:color rgb="FFE5E7EB"/>
      </x:left>
      <x:right style="thin">
        <x:color rgb="FFE5E7EB"/>
      </x:right>
      <x:top style="thin">
        <x:color rgb="FFE5E7EB"/>
      </x:top>
      <x:bottom style="thin">
        <x:color rgb="FFE5E7EB"/>
      </x:bottom>
    </x:border>
    <x:border>
      <x:top style="thin">
        <x:color rgb="FF0F766E"/>
      </x:top>
      <x:bottom style="thin">
        <x:color rgb="FF0F766E"/>
      </x:bottom>
    </x:border>
    <x:border>
      <x:left style="thin">
        <x:color rgb="FFE8D899"/>
      </x:left>
      <x:top style="thin">
        <x:color rgb="FFE8D899"/>
      </x:top>
    </x:border>
    <x:border>
      <x:top style="thin">
        <x:color rgb="FFE8D899"/>
      </x:top>
    </x:border>
    <x:border>
      <x:right style="thin">
        <x:color rgb="FFE8D899"/>
      </x:right>
      <x:top style="thin">
        <x:color rgb="FFE8D899"/>
      </x:top>
    </x:border>
    <x:border>
      <x:left style="thin">
        <x:color rgb="FFE8D899"/>
      </x:left>
    </x:border>
    <x:border>
      <x:right style="thin">
        <x:color rgb="FFE8D899"/>
      </x:right>
    </x:border>
    <x:border>
      <x:left style="thin">
        <x:color rgb="FFE8D899"/>
      </x:left>
      <x:bottom style="thin">
        <x:color rgb="FFE8D899"/>
      </x:bottom>
    </x:border>
    <x:border>
      <x:bottom style="thin">
        <x:color rgb="FFE8D899"/>
      </x:bottom>
    </x:border>
    <x:border>
      <x:right style="thin">
        <x:color rgb="FFE8D899"/>
      </x:right>
      <x:bottom style="thin">
        <x:color rgb="FFE8D899"/>
      </x:bottom>
    </x:border>
    <x:border>
      <x:left style="thin">
        <x:color rgb="FFCAD3DD"/>
      </x:left>
      <x:right style="thin">
        <x:color rgb="FFCAD3DD"/>
      </x:right>
      <x:top style="thin">
        <x:color rgb="FFCAD3DD"/>
      </x:top>
      <x:bottom style="thin">
        <x:color rgb="FFCAD3DD"/>
      </x:bottom>
    </x:border>
    <x:border>
      <x:left style="thin">
        <x:color rgb="FF17324D"/>
      </x:left>
      <x:right style="thin">
        <x:color rgb="FF17324D"/>
      </x:right>
      <x:top style="thin">
        <x:color rgb="FF17324D"/>
      </x:top>
      <x:bottom style="thin">
        <x:color rgb="FF17324D"/>
      </x:bottom>
    </x:border>
  </x:borders>
  <x:cellStyleXfs count="1">
    <x:xf numFmtId="0" fontId="0" fillId="0" borderId="0"/>
  </x:cellStyleXfs>
  <x:cellXfs count="9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left" vertical="top" wrapText="1"/>
    </x:xf>
    <x:xf numFmtId="0" fontId="2" fillId="2" borderId="0" xfId="0" applyNumberFormat="1" applyFont="1" applyFill="1" applyBorder="1" applyAlignment="1">
      <x:alignment horizontal="left" vertical="center" wrapText="1"/>
    </x:xf>
    <x:xf numFmtId="0" fontId="1" fillId="3" borderId="0" xfId="0" applyNumberFormat="1" applyFont="1" applyFill="1" applyBorder="1" applyAlignment="1">
      <x:alignment vertical="top"/>
    </x:xf>
    <x:xf numFmtId="0" fontId="3" fillId="3" borderId="0" xfId="0" applyNumberFormat="1" applyFont="1" applyFill="1" applyBorder="1" applyAlignment="1">
      <x:alignment vertical="top"/>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left" vertical="top" wrapText="1"/>
    </x:xf>
    <x:xf numFmtId="0" fontId="3" fillId="3" borderId="0" xfId="0" applyNumberFormat="1" applyFont="1" applyFill="1" applyBorder="1" applyAlignment="1">
      <x:alignment horizontal="left" vertical="center" wrapText="1"/>
    </x:xf>
    <x:xf numFmtId="0" fontId="1" fillId="4" borderId="0" xfId="0" applyNumberFormat="1" applyFont="1" applyFill="1" applyBorder="1" applyAlignment="1">
      <x:alignment vertical="top"/>
    </x:xf>
    <x:xf numFmtId="0" fontId="4" fillId="4" borderId="0" xfId="0" applyNumberFormat="1" applyFont="1" applyFill="1" applyBorder="1" applyAlignment="1">
      <x:alignment vertical="top"/>
    </x:xf>
    <x:xf numFmtId="0" fontId="4" fillId="4" borderId="1" xfId="0" applyNumberFormat="1" applyFont="1" applyFill="1" applyBorder="1" applyAlignment="1">
      <x:alignment vertical="top"/>
    </x:xf>
    <x:xf numFmtId="0" fontId="4" fillId="4" borderId="2" xfId="0" applyNumberFormat="1" applyFont="1" applyFill="1" applyBorder="1" applyAlignment="1">
      <x:alignment vertical="top"/>
    </x:xf>
    <x:xf numFmtId="0" fontId="4" fillId="4" borderId="1" xfId="0" applyNumberFormat="1" applyFont="1" applyFill="1" applyBorder="1" applyAlignment="1">
      <x:alignment horizontal="left" vertical="top"/>
    </x:xf>
    <x:xf numFmtId="0" fontId="4" fillId="4" borderId="2" xfId="0" applyNumberFormat="1" applyFont="1" applyFill="1" applyBorder="1" applyAlignment="1">
      <x:alignment horizontal="left" vertical="top"/>
    </x:xf>
    <x:xf numFmtId="0" fontId="4" fillId="4" borderId="1" xfId="0" applyNumberFormat="1" applyFont="1" applyFill="1" applyBorder="1" applyAlignment="1">
      <x:alignment horizontal="left" vertical="center"/>
    </x:xf>
    <x:xf numFmtId="0" fontId="4" fillId="4" borderId="2" xfId="0" applyNumberFormat="1" applyFont="1" applyFill="1" applyBorder="1" applyAlignment="1">
      <x:alignment horizontal="left" vertical="center"/>
    </x:xf>
    <x:xf numFmtId="200" fontId="1" fillId="0" borderId="0" xfId="0" applyNumberFormat="1" applyFont="1" applyFill="1" applyBorder="1" applyAlignment="1">
      <x:alignment vertical="top"/>
    </x:xf>
    <x:xf numFmtId="201" fontId="1" fillId="0" borderId="0" xfId="0" applyNumberFormat="1" applyFont="1" applyFill="1" applyBorder="1" applyAlignment="1">
      <x:alignment vertical="top"/>
    </x:xf>
    <x:xf numFmtId="0" fontId="1" fillId="0" borderId="3" xfId="0" applyNumberFormat="1" applyFont="1" applyFill="1" applyBorder="1" applyAlignment="1">
      <x:alignment vertical="top"/>
    </x:xf>
    <x:xf numFmtId="200" fontId="1" fillId="0" borderId="3" xfId="0" applyNumberFormat="1" applyFont="1" applyFill="1" applyBorder="1" applyAlignment="1">
      <x:alignment vertical="top"/>
    </x:xf>
    <x:xf numFmtId="201" fontId="1" fillId="0" borderId="3" xfId="0" applyNumberFormat="1" applyFont="1" applyFill="1" applyBorder="1" applyAlignment="1">
      <x:alignment vertical="top"/>
    </x:xf>
    <x:xf numFmtId="0" fontId="1" fillId="5" borderId="3" xfId="0" applyNumberFormat="1" applyFont="1" applyFill="1" applyBorder="1" applyAlignment="1">
      <x:alignment vertical="top"/>
    </x:xf>
    <x:xf numFmtId="0" fontId="1" fillId="6" borderId="3" xfId="0" applyNumberFormat="1" applyFont="1" applyFill="1" applyBorder="1" applyAlignment="1">
      <x:alignment vertical="top"/>
    </x:xf>
    <x:xf numFmtId="0" fontId="5" fillId="6" borderId="3" xfId="0" applyNumberFormat="1" applyFont="1" applyFill="1" applyBorder="1" applyAlignment="1">
      <x:alignment vertical="top"/>
    </x:xf>
    <x:xf numFmtId="0" fontId="1" fillId="7" borderId="3" xfId="0" applyNumberFormat="1" applyFont="1" applyFill="1" applyBorder="1" applyAlignment="1">
      <x:alignment vertical="top"/>
    </x:xf>
    <x:xf numFmtId="0" fontId="6" fillId="7" borderId="3" xfId="0" applyNumberFormat="1" applyFont="1" applyFill="1" applyBorder="1" applyAlignment="1">
      <x:alignment vertical="top"/>
    </x:xf>
    <x:xf numFmtId="0" fontId="1" fillId="8" borderId="3" xfId="0" applyNumberFormat="1" applyFont="1" applyFill="1" applyBorder="1" applyAlignment="1">
      <x:alignment vertical="top"/>
    </x:xf>
    <x:xf numFmtId="0" fontId="7" fillId="8" borderId="3" xfId="0" applyNumberFormat="1" applyFont="1" applyFill="1" applyBorder="1" applyAlignment="1">
      <x:alignment vertical="top"/>
    </x:xf>
    <x:xf numFmtId="0" fontId="4" fillId="4" borderId="4" xfId="0" applyNumberFormat="1" applyFont="1" applyFill="1" applyBorder="1" applyAlignment="1">
      <x:alignment vertical="top"/>
    </x:xf>
    <x:xf numFmtId="0" fontId="4" fillId="4" borderId="4" xfId="0" applyNumberFormat="1" applyFont="1" applyFill="1" applyBorder="1" applyAlignment="1">
      <x:alignment horizontal="left" vertical="top"/>
    </x:xf>
    <x:xf numFmtId="0" fontId="4" fillId="4" borderId="4" xfId="0" applyNumberFormat="1" applyFont="1" applyFill="1" applyBorder="1" applyAlignment="1">
      <x:alignment horizontal="left" vertical="center"/>
    </x:xf>
    <x:xf numFmtId="0" fontId="1" fillId="9" borderId="0" xfId="0" applyNumberFormat="1" applyFont="1" applyFill="1" applyBorder="1" applyAlignment="1">
      <x:alignment vertical="top"/>
    </x:xf>
    <x:xf numFmtId="0" fontId="8" fillId="9" borderId="0" xfId="0" applyNumberFormat="1" applyFont="1" applyFill="1" applyBorder="1" applyAlignment="1">
      <x:alignment vertical="top"/>
    </x:xf>
    <x:xf numFmtId="0" fontId="8" fillId="9" borderId="5" xfId="0" applyNumberFormat="1" applyFont="1" applyFill="1" applyBorder="1" applyAlignment="1">
      <x:alignment vertical="top"/>
    </x:xf>
    <x:xf numFmtId="0" fontId="8" fillId="9" borderId="6" xfId="0" applyNumberFormat="1" applyFont="1" applyFill="1" applyBorder="1" applyAlignment="1">
      <x:alignment vertical="top"/>
    </x:xf>
    <x:xf numFmtId="0" fontId="8" fillId="9" borderId="7" xfId="0" applyNumberFormat="1" applyFont="1" applyFill="1" applyBorder="1" applyAlignment="1">
      <x:alignment vertical="top"/>
    </x:xf>
    <x:xf numFmtId="0" fontId="8" fillId="9" borderId="8" xfId="0" applyNumberFormat="1" applyFont="1" applyFill="1" applyBorder="1" applyAlignment="1">
      <x:alignment vertical="top"/>
    </x:xf>
    <x:xf numFmtId="0" fontId="8" fillId="9" borderId="9" xfId="0" applyNumberFormat="1" applyFont="1" applyFill="1" applyBorder="1" applyAlignment="1">
      <x:alignment vertical="top"/>
    </x:xf>
    <x:xf numFmtId="0" fontId="8" fillId="9" borderId="10" xfId="0" applyNumberFormat="1" applyFont="1" applyFill="1" applyBorder="1" applyAlignment="1">
      <x:alignment vertical="top"/>
    </x:xf>
    <x:xf numFmtId="0" fontId="8" fillId="9" borderId="11" xfId="0" applyNumberFormat="1" applyFont="1" applyFill="1" applyBorder="1" applyAlignment="1">
      <x:alignment vertical="top"/>
    </x:xf>
    <x:xf numFmtId="0" fontId="8" fillId="9" borderId="12" xfId="0" applyNumberFormat="1" applyFont="1" applyFill="1" applyBorder="1" applyAlignment="1">
      <x:alignment vertical="top"/>
    </x:xf>
    <x:xf numFmtId="0" fontId="8" fillId="9" borderId="5" xfId="0" applyNumberFormat="1" applyFont="1" applyFill="1" applyBorder="1" applyAlignment="1">
      <x:alignment vertical="top" wrapText="1"/>
    </x:xf>
    <x:xf numFmtId="0" fontId="8" fillId="9" borderId="6" xfId="0" applyNumberFormat="1" applyFont="1" applyFill="1" applyBorder="1" applyAlignment="1">
      <x:alignment vertical="top" wrapText="1"/>
    </x:xf>
    <x:xf numFmtId="0" fontId="8" fillId="9" borderId="7" xfId="0" applyNumberFormat="1" applyFont="1" applyFill="1" applyBorder="1" applyAlignment="1">
      <x:alignment vertical="top" wrapText="1"/>
    </x:xf>
    <x:xf numFmtId="0" fontId="8" fillId="9" borderId="8" xfId="0" applyNumberFormat="1" applyFont="1" applyFill="1" applyBorder="1" applyAlignment="1">
      <x:alignment vertical="top" wrapText="1"/>
    </x:xf>
    <x:xf numFmtId="0" fontId="8" fillId="9" borderId="0" xfId="0" applyNumberFormat="1" applyFont="1" applyFill="1" applyBorder="1" applyAlignment="1">
      <x:alignment vertical="top" wrapText="1"/>
    </x:xf>
    <x:xf numFmtId="0" fontId="8" fillId="9" borderId="9" xfId="0" applyNumberFormat="1" applyFont="1" applyFill="1" applyBorder="1" applyAlignment="1">
      <x:alignment vertical="top" wrapText="1"/>
    </x:xf>
    <x:xf numFmtId="0" fontId="8" fillId="9" borderId="10" xfId="0" applyNumberFormat="1" applyFont="1" applyFill="1" applyBorder="1" applyAlignment="1">
      <x:alignment vertical="top" wrapText="1"/>
    </x:xf>
    <x:xf numFmtId="0" fontId="8" fillId="9" borderId="11" xfId="0" applyNumberFormat="1" applyFont="1" applyFill="1" applyBorder="1" applyAlignment="1">
      <x:alignment vertical="top" wrapText="1"/>
    </x:xf>
    <x:xf numFmtId="0" fontId="8" fillId="9" borderId="12" xfId="0" applyNumberFormat="1" applyFont="1" applyFill="1" applyBorder="1" applyAlignment="1">
      <x:alignment vertical="top" wrapText="1"/>
    </x:xf>
    <x:xf numFmtId="0" fontId="8" fillId="9" borderId="5" xfId="0" applyNumberFormat="1" applyFont="1" applyFill="1" applyBorder="1" applyAlignment="1">
      <x:alignment vertical="center" wrapText="1"/>
    </x:xf>
    <x:xf numFmtId="0" fontId="8" fillId="9" borderId="6" xfId="0" applyNumberFormat="1" applyFont="1" applyFill="1" applyBorder="1" applyAlignment="1">
      <x:alignment vertical="center" wrapText="1"/>
    </x:xf>
    <x:xf numFmtId="0" fontId="8" fillId="9" borderId="7" xfId="0" applyNumberFormat="1" applyFont="1" applyFill="1" applyBorder="1" applyAlignment="1">
      <x:alignment vertical="center" wrapText="1"/>
    </x:xf>
    <x:xf numFmtId="0" fontId="8" fillId="9" borderId="8" xfId="0" applyNumberFormat="1" applyFont="1" applyFill="1" applyBorder="1" applyAlignment="1">
      <x:alignment vertical="center" wrapText="1"/>
    </x:xf>
    <x:xf numFmtId="0" fontId="8" fillId="9" borderId="0" xfId="0" applyNumberFormat="1" applyFont="1" applyFill="1" applyBorder="1" applyAlignment="1">
      <x:alignment vertical="center" wrapText="1"/>
    </x:xf>
    <x:xf numFmtId="0" fontId="8" fillId="9" borderId="9" xfId="0" applyNumberFormat="1" applyFont="1" applyFill="1" applyBorder="1" applyAlignment="1">
      <x:alignment vertical="center" wrapText="1"/>
    </x:xf>
    <x:xf numFmtId="0" fontId="8" fillId="9" borderId="10" xfId="0" applyNumberFormat="1" applyFont="1" applyFill="1" applyBorder="1" applyAlignment="1">
      <x:alignment vertical="center" wrapText="1"/>
    </x:xf>
    <x:xf numFmtId="0" fontId="8" fillId="9" borderId="11" xfId="0" applyNumberFormat="1" applyFont="1" applyFill="1" applyBorder="1" applyAlignment="1">
      <x:alignment vertical="center" wrapText="1"/>
    </x:xf>
    <x:xf numFmtId="0" fontId="8" fillId="9" borderId="12" xfId="0" applyNumberFormat="1" applyFont="1" applyFill="1" applyBorder="1" applyAlignment="1">
      <x:alignment vertical="center" wrapText="1"/>
    </x:xf>
    <x:xf numFmtId="0" fontId="1" fillId="5" borderId="0" xfId="0" applyNumberFormat="1" applyFont="1" applyFill="1" applyBorder="1" applyAlignment="1">
      <x:alignment vertical="top"/>
    </x:xf>
    <x:xf numFmtId="0" fontId="9" fillId="5" borderId="0" xfId="0" applyNumberFormat="1" applyFont="1" applyFill="1" applyBorder="1" applyAlignment="1">
      <x:alignment vertical="top"/>
    </x:xf>
    <x:xf numFmtId="0" fontId="9" fillId="5" borderId="0" xfId="0" applyNumberFormat="1" applyFont="1" applyFill="1" applyBorder="1" applyAlignment="1">
      <x:alignment vertical="top" wrapText="1"/>
    </x:xf>
    <x:xf numFmtId="0" fontId="10" fillId="2" borderId="0" xfId="0" applyNumberFormat="1" applyFont="1" applyFill="1" applyBorder="1" applyAlignment="1">
      <x:alignment vertical="top"/>
    </x:xf>
    <x:xf numFmtId="0" fontId="10" fillId="2" borderId="13" xfId="0" applyNumberFormat="1" applyFont="1" applyFill="1" applyBorder="1" applyAlignment="1">
      <x:alignment vertical="top"/>
    </x:xf>
    <x:xf numFmtId="0" fontId="10" fillId="2" borderId="13" xfId="0" applyNumberFormat="1" applyFont="1" applyFill="1" applyBorder="1" applyAlignment="1">
      <x:alignment vertical="top" wrapText="1"/>
    </x:xf>
    <x:xf numFmtId="0" fontId="10" fillId="2" borderId="13" xfId="0" applyNumberFormat="1" applyFont="1" applyFill="1" applyBorder="1" applyAlignment="1">
      <x:alignment horizontal="center" vertical="top" wrapText="1"/>
    </x:xf>
    <x:xf numFmtId="0" fontId="10" fillId="2" borderId="13" xfId="0" applyNumberFormat="1" applyFont="1" applyFill="1" applyBorder="1" applyAlignment="1">
      <x:alignment horizontal="center" vertical="center" wrapText="1"/>
    </x:xf>
    <x:xf numFmtId="0" fontId="11" fillId="0" borderId="0" xfId="0" applyNumberFormat="1" applyFont="1" applyFill="1" applyBorder="1" applyAlignment="1">
      <x:alignment vertical="top"/>
    </x:xf>
    <x:xf numFmtId="0" fontId="11" fillId="0" borderId="0" xfId="0" applyNumberFormat="1" applyFont="1" applyFill="1" applyBorder="1" applyAlignment="1">
      <x:alignment vertical="top" wrapText="1"/>
    </x:xf>
    <x:xf numFmtId="202" fontId="11" fillId="0" borderId="0"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0" fontId="11" fillId="0" borderId="0" xfId="0" applyNumberFormat="1" applyFont="1" applyFill="1" applyBorder="1" applyAlignment="1">
      <x:alignment vertical="top" wrapText="1"/>
    </x:xf>
    <x:xf numFmtId="202" fontId="11" fillId="0" borderId="0" xfId="0" applyNumberFormat="1" applyFont="1" applyFill="1" applyBorder="1" applyAlignment="1">
      <x:alignment horizontal="center" vertical="top" wrapText="1"/>
    </x:xf>
    <x:xf numFmtId="0" fontId="11" fillId="0" borderId="0" xfId="0" applyNumberFormat="1" applyFont="1" applyFill="1" applyBorder="1" applyAlignment="1">
      <x:alignment horizontal="center" vertical="top" wrapText="1"/>
    </x:xf>
    <x:xf numFmtId="203" fontId="11" fillId="0" borderId="0" xfId="0" applyNumberFormat="1" applyFont="1" applyFill="1" applyBorder="1" applyAlignment="1">
      <x:alignment horizontal="center" vertical="top" wrapText="1"/>
    </x:xf>
    <x:xf numFmtId="200" fontId="1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x:xf>
    <x:xf numFmtId="200" fontId="1" fillId="0" borderId="0" xfId="0" applyNumberFormat="1" applyFont="1" applyFill="1" applyBorder="1" applyAlignment="1">
      <x:alignment horizontal="center" vertical="top"/>
    </x:xf>
    <x:xf numFmtId="0" fontId="4" fillId="2" borderId="0" xfId="0" applyNumberFormat="1" applyFont="1" applyFill="1" applyBorder="1" applyAlignment="1">
      <x:alignment vertical="top"/>
    </x:xf>
    <x:xf numFmtId="0" fontId="4" fillId="2" borderId="14" xfId="0" applyNumberFormat="1" applyFont="1" applyFill="1" applyBorder="1" applyAlignment="1">
      <x:alignment vertical="top"/>
    </x:xf>
    <x:xf numFmtId="0" fontId="11" fillId="0" borderId="3" xfId="0" applyNumberFormat="1" applyFont="1" applyFill="1" applyBorder="1" applyAlignment="1">
      <x:alignment vertical="top"/>
    </x:xf>
    <x:xf numFmtId="0" fontId="11" fillId="0" borderId="3" xfId="0" applyNumberFormat="1" applyFont="1" applyFill="1" applyBorder="1" applyAlignment="1">
      <x:alignment vertical="top" wrapText="1"/>
    </x:xf>
    <x:xf numFmtId="0" fontId="12" fillId="0" borderId="3" xfId="0" applyNumberFormat="1" applyFont="1" applyFill="1" applyBorder="1" applyAlignment="1">
      <x:alignment vertical="top" wrapText="1"/>
    </x:xf>
    <x:xf numFmtId="0" fontId="13" fillId="0" borderId="3" xfId="0" applyNumberFormat="1" applyFont="1" applyFill="1" applyBorder="1" applyAlignment="1">
      <x:alignment vertical="top" wrapText="1"/>
    </x:xf>
    <x:xf numFmtId="0" fontId="14" fillId="0" borderId="3" xfId="0" applyNumberFormat="1" applyFont="1" applyFill="1" applyBorder="1" applyAlignment="1">
      <x:alignment vertical="top" wrapText="1"/>
    </x:xf>
  </x:cellXfs>
  <x:cellStyles count="1">
    <x:cellStyle name="Normal" xfId="0"/>
  </x:cellStyles>
  <x:dxfs count="9">
    <x:dxf>
      <x:font>
        <x:b/>
        <x:color rgb="FF065F46"/>
      </x:font>
      <x:fill>
        <x:patternFill>
          <x:bgColor rgb="FFD1FAE5"/>
        </x:patternFill>
      </x:fill>
    </x:dxf>
    <x:dxf>
      <x:font>
        <x:b/>
        <x:color rgb="FF991B1B"/>
      </x:font>
      <x:fill>
        <x:patternFill>
          <x:bgColor rgb="FFFEE2E2"/>
        </x:patternFill>
      </x:fill>
    </x:dxf>
    <x:dxf>
      <x:font>
        <x:color rgb="FF92400E"/>
      </x:font>
      <x:fill>
        <x:patternFill>
          <x:bgColor rgb="FFFEF3C7"/>
        </x:patternFill>
      </x:fill>
    </x:dxf>
    <x:dxf>
      <x:font>
        <x:color rgb="FF065F46"/>
      </x:font>
      <x:fill>
        <x:patternFill>
          <x:bgColor rgb="FFD1FAE5"/>
        </x:patternFill>
      </x:fill>
    </x:dxf>
    <x:dxf>
      <x:font>
        <x:color rgb="FF991B1B"/>
      </x:font>
      <x:fill>
        <x:patternFill>
          <x:bgColor rgb="FFFEE2E2"/>
        </x:patternFill>
      </x:fill>
    </x:dxf>
    <x:dxf>
      <x:font>
        <x:color rgb="FF92400E"/>
      </x:font>
      <x:fill>
        <x:patternFill>
          <x:bgColor rgb="FFFEF3C7"/>
        </x:patternFill>
      </x:fill>
    </x:dxf>
    <x:dxf>
      <x:font>
        <x:b/>
        <x:color rgb="FF065F46"/>
      </x:font>
      <x:fill>
        <x:patternFill>
          <x:bgColor rgb="FFD1FAE5"/>
        </x:patternFill>
      </x:fill>
    </x:dxf>
    <x:dxf>
      <x:font>
        <x:color rgb="FF92400E"/>
      </x:font>
      <x:fill>
        <x:patternFill>
          <x:bgColor rgb="FFFEF3C7"/>
        </x:patternFill>
      </x:fill>
    </x:dxf>
    <x:dxf>
      <x:font>
        <x:b/>
        <x:color rgb="FF065F46"/>
      </x:font>
      <x:fill>
        <x:patternFill>
          <x:bgColor rgb="FFD1FA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263c05b0ef546af" /><Relationship Type="http://schemas.openxmlformats.org/officeDocument/2006/relationships/theme" Target="/xl/theme/theme1.xml" Id="Reacea059af2f4645" /><Relationship Type="http://schemas.openxmlformats.org/officeDocument/2006/relationships/sharedStrings" Target="/xl/sharedStrings.xml" Id="R1847fe47e7de49b0" /><Relationship Type="http://schemas.openxmlformats.org/officeDocument/2006/relationships/worksheet" Target="/xl/worksheets/sheet1.xml" Id="R3e32c551776b4e55" /><Relationship Type="http://schemas.openxmlformats.org/officeDocument/2006/relationships/worksheet" Target="/xl/worksheets/sheet2.xml" Id="R4cfe6c87dd974239" /><Relationship Type="http://schemas.openxmlformats.org/officeDocument/2006/relationships/worksheet" Target="/xl/worksheets/sheet3.xml" Id="R928517899d32466b" /><Relationship Type="http://schemas.openxmlformats.org/officeDocument/2006/relationships/worksheet" Target="/xl/worksheets/sheet4.xml" Id="Rb163cbba975c4591" /><Relationship Type="http://schemas.openxmlformats.org/officeDocument/2006/relationships/worksheet" Target="/xl/worksheets/sheet5.xml" Id="Rbf9013b7786d426b" /></Relationships>
</file>

<file path=xl/tables/table1.xml><?xml version="1.0" encoding="utf-8"?>
<x:table xmlns:x="http://schemas.openxmlformats.org/spreadsheetml/2006/main" id="1" name="S2FullTextScreening" displayName="S2FullTextScreening" ref="A4:AG36" headerRowCount="1" totalsRowCount="0" totalsRowShown="0">
  <x:autoFilter ref="A4:AG36"/>
  <x:tableColumns count="33">
    <x:tableColumn id="1" name="ID_S2"/>
    <x:tableColumn id="2" name="Prioridad_pretexto"/>
    <x:tableColumn id="3" name="Clase_cribado"/>
    <x:tableColumn id="4" name="Rango_relevancia"/>
    <x:tableColumn id="5" name="Interfaz_prevista"/>
    <x:tableColumn id="6" name="Motivo_preselección"/>
    <x:tableColumn id="7" name="Lote"/>
    <x:tableColumn id="8" name="EID"/>
    <x:tableColumn id="9" name="DOI"/>
    <x:tableColumn id="10" name="Autores"/>
    <x:tableColumn id="11" name="Año"/>
    <x:tableColumn id="12" name="Título"/>
    <x:tableColumn id="13" name="Fuente"/>
    <x:tableColumn id="14" name="Tipo_documento"/>
    <x:tableColumn id="15" name="Enlace_Scopus"/>
    <x:tableColumn id="16" name="Recuperación"/>
    <x:tableColumn id="17" name="Estado_texto_completo"/>
    <x:tableColumn id="18" name="Decisión"/>
    <x:tableColumn id="19" name="Código_motivo"/>
    <x:tableColumn id="20" name="Justificación_decisión"/>
    <x:tableColumn id="21" name="Unidad_despliegue"/>
    <x:tableColumn id="22" name="Tipo_evidencia"/>
    <x:tableColumn id="23" name="I12"/>
    <x:tableColumn id="24" name="I23"/>
    <x:tableColumn id="25" name="I3M"/>
    <x:tableColumn id="26" name="IM1"/>
    <x:tableColumn id="27" name="Rol_en_A3M"/>
    <x:tableColumn id="28" name="Limitación_principal"/>
    <x:tableColumn id="29" name="Archivo_revisado"/>
    <x:tableColumn id="30" name="PDF_final_renombrado"/>
    <x:tableColumn id="31" name="Fecha_evaluación"/>
    <x:tableColumn id="32" name="Revisor"/>
    <x:tableColumn id="33" name="Observaciones"/>
  </x:tableColumns>
  <x:tableStyleInfo name="TableStyleMedium2" showFirstColumn="0" showLastColumn="0" showRowStripes="1" showColumnStripes="0"/>
</x:table>
</file>

<file path=xl/tables/table2.xml><?xml version="1.0" encoding="utf-8"?>
<x:table xmlns:x="http://schemas.openxmlformats.org/spreadsheetml/2006/main" id="2" name="S2BatchControl" displayName="S2BatchControl" ref="A4:K9" headerRowCount="1" totalsRowCount="0" totalsRowShown="0">
  <x:tableColumns count="11">
    <x:tableColumn id="1" name="Lote"/>
    <x:tableColumn id="2" name="Tamaño_planeado"/>
    <x:tableColumn id="3" name="Fecha_recepción"/>
    <x:tableColumn id="4" name="IDs_asignados"/>
    <x:tableColumn id="5" name="Reportes_recibidos"/>
    <x:tableColumn id="6" name="Evaluados"/>
    <x:tableColumn id="7" name="Incluidos"/>
    <x:tableColumn id="8" name="Excluidos"/>
    <x:tableColumn id="9" name="Pendientes"/>
    <x:tableColumn id="10" name="Estado"/>
    <x:tableColumn id="11" name="Notas"/>
  </x:tableColumns>
  <x:tableStyleInfo name="TableStyleMedium2" showFirstColumn="0" showLastColumn="0" showRowStripes="1" showColumnStripes="0"/>
</x:table>
</file>

<file path=xl/tables/table3.xml><?xml version="1.0" encoding="utf-8"?>
<x:table xmlns:x="http://schemas.openxmlformats.org/spreadsheetml/2006/main" id="3" name="S2SeedRegister" displayName="S2SeedRegister" ref="A4:K8" headerRowCount="1" totalsRowCount="0" totalsRowShown="0">
  <x:tableColumns count="11">
    <x:tableColumn id="1" name="ID_S2"/>
    <x:tableColumn id="2" name="DOI"/>
    <x:tableColumn id="3" name="Título"/>
    <x:tableColumn id="4" name="Autores"/>
    <x:tableColumn id="5" name="Año"/>
    <x:tableColumn id="6" name="Fuente"/>
    <x:tableColumn id="7" name="Recuperación"/>
    <x:tableColumn id="8" name="Uso"/>
    <x:tableColumn id="9" name="Interfaz_foco"/>
    <x:tableColumn id="10" name="Estado_texto"/>
    <x:tableColumn id="11" name="Conteo_corp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3e56350149a43f0" /></Relationships>
</file>

<file path=xl/worksheets/_rels/sheet3.xml.rels>&#65279;<?xml version="1.0" encoding="utf-8"?><Relationships xmlns="http://schemas.openxmlformats.org/package/2006/relationships"><Relationship Type="http://schemas.openxmlformats.org/officeDocument/2006/relationships/table" Target="/xl/tables/table2.xml" Id="Rd397bcc14aa44d8e" /></Relationships>
</file>

<file path=xl/worksheets/_rels/sheet4.xml.rels>&#65279;<?xml version="1.0" encoding="utf-8"?><Relationships xmlns="http://schemas.openxmlformats.org/package/2006/relationships"><Relationship Type="http://schemas.openxmlformats.org/officeDocument/2006/relationships/table" Target="/xl/tables/table3.xml" Id="R81094dd5a75d4d1a"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3" hidden="0" customWidth="1"/>
    <x:col min="4" max="4" width="40" hidden="0" customWidth="1"/>
    <x:col min="5" max="5" width="16" hidden="0" customWidth="1"/>
    <x:col min="6" max="6" width="3" hidden="0" customWidth="1"/>
    <x:col min="7" max="7" width="39" hidden="0" customWidth="1"/>
    <x:col min="8" max="8" width="20" hidden="0" customWidth="1"/>
  </x:cols>
  <x:sheetData>
    <x:row r="1" ht="34" customHeight="1">
      <x:c r="A1" s="7" t="str">
        <x:v>S2 — cribado de texto completo</x:v>
      </x:c>
      <x:c r="B1" s="7" t="str">
        <x:v>S2 — cribado de texto completo</x:v>
      </x:c>
      <x:c r="C1" s="7" t="str">
        <x:v>S2 — cribado de texto completo</x:v>
      </x:c>
      <x:c r="D1" s="7" t="str">
        <x:v>S2 — cribado de texto completo</x:v>
      </x:c>
      <x:c r="E1" s="7" t="str">
        <x:v>S2 — cribado de texto completo</x:v>
      </x:c>
      <x:c r="F1" s="7" t="str">
        <x:v>S2 — cribado de texto completo</x:v>
      </x:c>
      <x:c r="G1" s="7" t="str">
        <x:v>S2 — cribado de texto completo</x:v>
      </x:c>
      <x:c r="H1" s="7" t="str">
        <x:v>S2 — cribado de texto completo</x:v>
      </x:c>
    </x:row>
    <x:row r="2" ht="30" customHeight="1">
      <x:c r="A2" s="12" t="str">
        <x:v>Registro acumulativo de los 32 candidatos de Scopus; las cuatro semillas se controlan por separado.</x:v>
      </x:c>
      <x:c r="B2" s="12" t="str">
        <x:v>Registro acumulativo de los 32 candidatos de Scopus; las cuatro semillas se controlan por separado.</x:v>
      </x:c>
      <x:c r="C2" s="12" t="str">
        <x:v>Registro acumulativo de los 32 candidatos de Scopus; las cuatro semillas se controlan por separado.</x:v>
      </x:c>
      <x:c r="D2" s="12" t="str">
        <x:v>Registro acumulativo de los 32 candidatos de Scopus; las cuatro semillas se controlan por separado.</x:v>
      </x:c>
      <x:c r="E2" s="12" t="str">
        <x:v>Registro acumulativo de los 32 candidatos de Scopus; las cuatro semillas se controlan por separado.</x:v>
      </x:c>
      <x:c r="F2" s="12" t="str">
        <x:v>Registro acumulativo de los 32 candidatos de Scopus; las cuatro semillas se controlan por separado.</x:v>
      </x:c>
      <x:c r="G2" s="12" t="str">
        <x:v>Registro acumulativo de los 32 candidatos de Scopus; las cuatro semillas se controlan por separado.</x:v>
      </x:c>
      <x:c r="H2" s="12" t="str">
        <x:v>Registro acumulativo de los 32 candidatos de Scopus; las cuatro semillas se controlan por separado.</x:v>
      </x:c>
    </x:row>
    <x:row r="3">
      <x:c r="A3" s="2"/>
      <x:c r="B3" s="2"/>
      <x:c r="C3" s="2"/>
      <x:c r="D3" s="2"/>
      <x:c r="E3" s="2"/>
      <x:c r="F3" s="2"/>
      <x:c r="G3" s="2"/>
      <x:c r="H3" s="2"/>
    </x:row>
    <x:row r="4" ht="22" customHeight="1">
      <x:c r="A4" s="19" t="str">
        <x:v>Parámetro</x:v>
      </x:c>
      <x:c r="B4" s="20" t="str">
        <x:v>Valor</x:v>
      </x:c>
      <x:c r="C4" s="2"/>
      <x:c r="D4" s="19" t="str">
        <x:v>Flujo de texto completo</x:v>
      </x:c>
      <x:c r="E4" s="20" t="str">
        <x:v>Conteo</x:v>
      </x:c>
      <x:c r="F4" s="2"/>
      <x:c r="G4" s="19" t="str">
        <x:v>Control de consistencia</x:v>
      </x:c>
      <x:c r="H4" s="20" t="str">
        <x:v>Resultado</x:v>
      </x:c>
    </x:row>
    <x:row r="5">
      <x:c r="A5" s="26" t="str">
        <x:v>Búsqueda</x:v>
      </x:c>
      <x:c r="B5" s="23" t="str">
        <x:v>S2</x:v>
      </x:c>
      <x:c r="C5" s="2"/>
      <x:c r="D5" s="26" t="str">
        <x:v>Candidatos a texto completo</x:v>
      </x:c>
      <x:c r="E5" s="23" t="n">
        <x:f>'Resumen'!$B$8</x:f>
        <x:v>32</x:v>
      </x:c>
      <x:c r="F5" s="2"/>
      <x:c r="G5" s="26" t="str">
        <x:v>Recuperados identificados fila a fila</x:v>
      </x:c>
      <x:c r="H5" s="23" t="n">
        <x:v>25</x:v>
      </x:c>
    </x:row>
    <x:row r="6">
      <x:c r="A6" s="26" t="str">
        <x:v>Base de datos</x:v>
      </x:c>
      <x:c r="B6" s="23" t="str">
        <x:v>Scopus</x:v>
      </x:c>
      <x:c r="C6" s="2"/>
      <x:c r="D6" s="26" t="str">
        <x:v>Reportes recuperados (informado)</x:v>
      </x:c>
      <x:c r="E6" s="28" t="n">
        <x:v>25</x:v>
      </x:c>
      <x:c r="F6" s="2"/>
      <x:c r="G6" s="26" t="str">
        <x:v>Estado individual por confirmar</x:v>
      </x:c>
      <x:c r="H6" s="23" t="n">
        <x:v>0</x:v>
      </x:c>
    </x:row>
    <x:row r="7">
      <x:c r="A7" s="26" t="str">
        <x:v>Registros únicos tras la unión</x:v>
      </x:c>
      <x:c r="B7" s="28" t="n">
        <x:v>1698</x:v>
      </x:c>
      <x:c r="C7" s="2"/>
      <x:c r="D7" s="26" t="str">
        <x:v>Reportes no recuperados (informado)</x:v>
      </x:c>
      <x:c r="E7" s="23" t="n">
        <x:f>'Resumen'!$E$5-'Resumen'!$E$6</x:f>
        <x:v>7</x:v>
      </x:c>
      <x:c r="F7" s="2"/>
      <x:c r="G7" s="26" t="str">
        <x:v>No recuperados identificados fila a fila</x:v>
      </x:c>
      <x:c r="H7" s="23" t="n">
        <x:v>7</x:v>
      </x:c>
    </x:row>
    <x:row r="8">
      <x:c r="A8" s="26" t="str">
        <x:v>Candidatos no semilla</x:v>
      </x:c>
      <x:c r="B8" s="23" t="n">
        <x:f>COUNTA('Cribado_S2'!$A$5:$A$36)</x:f>
        <x:v>32</x:v>
      </x:c>
      <x:c r="C8" s="2"/>
      <x:c r="D8" s="26" t="str">
        <x:v>Textos completos evaluados</x:v>
      </x:c>
      <x:c r="E8" s="23" t="n">
        <x:f>COUNTIF('Cribado_S2'!$Q$5:$Q$36,"Evaluado")</x:f>
        <x:v>25</x:v>
      </x:c>
      <x:c r="F8" s="2"/>
      <x:c r="G8" s="26" t="str">
        <x:v>Semillas recuperadas</x:v>
      </x:c>
      <x:c r="H8" s="23" t="n">
        <x:v>4</x:v>
      </x:c>
    </x:row>
    <x:row r="9">
      <x:c r="A9" s="26" t="str">
        <x:v>Semillas de calibración</x:v>
      </x:c>
      <x:c r="B9" s="23" t="n">
        <x:f>COUNTA('Semillas'!$A$5:$A$8)</x:f>
        <x:v>4</x:v>
      </x:c>
      <x:c r="C9" s="2"/>
      <x:c r="D9" s="26" t="str">
        <x:v>Recuperados pendientes de evaluación</x:v>
      </x:c>
      <x:c r="E9" s="23" t="n">
        <x:f>'Resumen'!$E$6-'Resumen'!$E$8</x:f>
        <x:v>0</x:v>
      </x:c>
      <x:c r="F9" s="2"/>
      <x:c r="G9" s="26" t="str">
        <x:v>Evaluados registrados en lotes</x:v>
      </x:c>
      <x:c r="H9" s="23" t="n">
        <x:v>25</x:v>
      </x:c>
    </x:row>
    <x:row r="10">
      <x:c r="A10" s="26" t="str">
        <x:v>Última actualización</x:v>
      </x:c>
      <x:c r="B10" s="24" t="n">
        <x:v>46252</x:v>
      </x:c>
      <x:c r="C10" s="2"/>
      <x:c r="D10" s="26" t="str">
        <x:v>Incluidos</x:v>
      </x:c>
      <x:c r="E10" s="30" t="n">
        <x:f>COUNTIF('Cribado_S2'!$R$5:$R$36,"Incluir")</x:f>
        <x:v>19</x:v>
      </x:c>
      <x:c r="F10" s="2"/>
      <x:c r="G10" s="26" t="str">
        <x:v>Balance de decisiones</x:v>
      </x:c>
      <x:c r="H10" s="23" t="n">
        <x:v>25</x:v>
      </x:c>
    </x:row>
    <x:row r="11">
      <x:c r="A11" s="26" t="str">
        <x:v>Versión</x:v>
      </x:c>
      <x:c r="B11" s="23" t="n">
        <x:v>1.6</x:v>
      </x:c>
      <x:c r="C11" s="2"/>
      <x:c r="D11" s="26" t="str">
        <x:v>Excluidos</x:v>
      </x:c>
      <x:c r="E11" s="32" t="n">
        <x:f>COUNTIF('Cribado_S2'!$R$5:$R$36,"Excluir")</x:f>
        <x:v>6</x:v>
      </x:c>
      <x:c r="F11" s="2"/>
      <x:c r="G11" s="26" t="str">
        <x:v>Estado general</x:v>
      </x:c>
      <x:c r="H11" s="30" t="str">
        <x:v>Consistente</x:v>
      </x:c>
    </x:row>
    <x:row r="12">
      <x:c r="A12" s="2"/>
      <x:c r="B12" s="2"/>
      <x:c r="C12" s="2"/>
      <x:c r="D12" s="26" t="str">
        <x:v>Tasa de inclusión entre evaluados</x:v>
      </x:c>
      <x:c r="E12" s="25" t="n">
        <x:f>IF('Resumen'!$E$8=0,0,'Resumen'!$E$10/'Resumen'!$E$8)</x:f>
        <x:v>0.76</x:v>
      </x:c>
      <x:c r="F12" s="2"/>
      <x:c r="G12" s="2"/>
      <x:c r="H12" s="2"/>
    </x:row>
    <x:row r="13">
      <x:c r="A13" s="2"/>
      <x:c r="B13" s="2"/>
      <x:c r="C13" s="2"/>
      <x:c r="D13" s="26" t="str">
        <x:v>Decisiones abiertas entre evaluados</x:v>
      </x:c>
      <x:c r="E13" s="23" t="n">
        <x:f>'Resumen'!$E$8-'Resumen'!$E$10-'Resumen'!$E$11</x:f>
        <x:v>0</x:v>
      </x:c>
      <x:c r="F13" s="2"/>
      <x:c r="G13" s="2"/>
      <x:c r="H13" s="2"/>
    </x:row>
    <x:row r="14">
      <x:c r="A14" s="2"/>
      <x:c r="B14" s="2"/>
      <x:c r="C14" s="2"/>
      <x:c r="D14" s="2"/>
      <x:c r="E14" s="2"/>
      <x:c r="F14" s="2"/>
      <x:c r="G14" s="2"/>
      <x:c r="H14" s="2"/>
    </x:row>
    <x:row r="15" ht="22" customHeight="1">
      <x:c r="A15" s="19" t="str">
        <x:v>Nota de reconciliación</x:v>
      </x:c>
      <x:c r="B15" s="35"/>
      <x:c r="C15" s="35"/>
      <x:c r="D15" s="35"/>
      <x:c r="E15" s="35"/>
      <x:c r="F15" s="35"/>
      <x:c r="G15" s="35"/>
      <x:c r="H15" s="20"/>
    </x:row>
    <x:row r="16" ht="34" customHeight="1">
      <x:c r="A16" s="55" t="str">
        <x:v>Reconciliación final: de 32 candidatos no semilla, 25 reportes fueron recuperados y evaluados; 7 no pudieron recuperarse. Los no recuperados son ID 014, 015, 016, 020, 021, 025 y 032, todos registrados como E07. E07 se reporta aparte en PRISMA y no constituye exclusión por contenido.</x:v>
      </x:c>
      <x:c r="B16" s="56"/>
      <x:c r="C16" s="56"/>
      <x:c r="D16" s="56"/>
      <x:c r="E16" s="56"/>
      <x:c r="F16" s="56"/>
      <x:c r="G16" s="56"/>
      <x:c r="H16" s="57"/>
    </x:row>
    <x:row r="17" ht="34" customHeight="1">
      <x:c r="A17" s="58" t="str">
        <x:v>Situación final: 25 textos completos evaluados, 19 incluidos y 6 excluidos. No quedan decisiones ni estados de recuperación por conciliar entre los 32 candidatos de S2.</x:v>
      </x:c>
      <x:c r="B17" s="59"/>
      <x:c r="C17" s="59"/>
      <x:c r="D17" s="59"/>
      <x:c r="E17" s="59"/>
      <x:c r="F17" s="59"/>
      <x:c r="G17" s="59"/>
      <x:c r="H17" s="60"/>
    </x:row>
    <x:row r="18" ht="34" customHeight="1">
      <x:c r="A18" s="61" t="str">
        <x:v>Las cuatro semillas son material de calibración y no forman parte del denominador de 32 candidatos de S2.</x:v>
      </x:c>
      <x:c r="B18" s="62"/>
      <x:c r="C18" s="62"/>
      <x:c r="D18" s="62"/>
      <x:c r="E18" s="62"/>
      <x:c r="F18" s="62"/>
      <x:c r="G18" s="62"/>
      <x:c r="H18" s="63"/>
    </x:row>
    <x:row r="19">
      <x:c r="A19" s="2"/>
      <x:c r="B19" s="2"/>
      <x:c r="C19" s="2"/>
      <x:c r="D19" s="2"/>
      <x:c r="E19" s="2"/>
      <x:c r="F19" s="2"/>
      <x:c r="G19" s="2"/>
      <x:c r="H19" s="2"/>
    </x:row>
    <x:row r="20" ht="22" customHeight="1">
      <x:c r="A20" s="19" t="str">
        <x:v>Fuentes del registro</x:v>
      </x:c>
      <x:c r="B20" s="35"/>
      <x:c r="C20" s="35"/>
      <x:c r="D20" s="35"/>
      <x:c r="E20" s="35"/>
      <x:c r="F20" s="35"/>
      <x:c r="G20" s="35"/>
      <x:c r="H20" s="20"/>
    </x:row>
    <x:row r="21">
      <x:c r="A21" s="66" t="str">
        <x:v>S2_Scopus_union_final_audit_1698.xlsx y s2_relevance_analysis.json — lista priorizada y metadatos.</x:v>
      </x:c>
      <x:c r="B21" s="66"/>
      <x:c r="C21" s="66"/>
      <x:c r="D21" s="66"/>
      <x:c r="E21" s="66"/>
      <x:c r="F21" s="66"/>
      <x:c r="G21" s="66"/>
      <x:c r="H21" s="66"/>
    </x:row>
    <x:row r="22">
      <x:c r="A22" s="66" t="str">
        <x:v>review_decisions.json y los PDF de los lotes 1, 2, 3, 4 y 5 — decisiones de texto completo; ID 020 registrado como reporte no recuperado.</x:v>
      </x:c>
      <x:c r="B22" s="66"/>
      <x:c r="C22" s="66"/>
      <x:c r="D22" s="66"/>
      <x:c r="E22" s="66"/>
      <x:c r="F22" s="66"/>
      <x:c r="G22" s="66"/>
      <x:c r="H22" s="66"/>
    </x:row>
    <x:row r="23">
      <x:c r="A23" s="66" t="str">
        <x:v>Fecha de corte del registro: 2026-08-17.</x:v>
      </x:c>
      <x:c r="B23" s="66"/>
      <x:c r="C23" s="66"/>
      <x:c r="D23" s="66"/>
      <x:c r="E23" s="66"/>
      <x:c r="F23" s="66"/>
      <x:c r="G23" s="66"/>
      <x:c r="H23" s="66"/>
    </x:row>
    <x:row r="24">
      <x:c r="A24" s="2"/>
      <x:c r="B24" s="2"/>
      <x:c r="C24" s="2"/>
      <x:c r="D24" s="2"/>
      <x:c r="E24" s="2"/>
      <x:c r="F24" s="2"/>
      <x:c r="G24" s="2"/>
      <x:c r="H24" s="2"/>
    </x:row>
  </x:sheetData>
  <x:mergeCells>
    <x:mergeCell ref="A1:H1"/>
    <x:mergeCell ref="A2:H2"/>
    <x:mergeCell ref="A15:H15"/>
    <x:mergeCell ref="A16:H16"/>
    <x:mergeCell ref="A17:H17"/>
    <x:mergeCell ref="A18:H18"/>
    <x:mergeCell ref="A20:H20"/>
    <x:mergeCell ref="A21:H21"/>
    <x:mergeCell ref="A22:H22"/>
    <x:mergeCell ref="A23: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18" hidden="0" customWidth="1"/>
    <x:col min="3" max="3" width="12" hidden="0" customWidth="1"/>
    <x:col min="4" max="4" width="12" hidden="0" customWidth="1"/>
    <x:col min="5" max="5" width="18" hidden="0" customWidth="1"/>
    <x:col min="6" max="6" width="46" hidden="0" customWidth="1"/>
    <x:col min="7" max="7" width="8" hidden="0" customWidth="1"/>
    <x:col min="8" max="8" width="20" hidden="0" customWidth="1"/>
    <x:col min="9" max="9" width="27" hidden="0" customWidth="1"/>
    <x:col min="10" max="10" width="40" hidden="0" customWidth="1"/>
    <x:col min="11" max="11" width="8" hidden="0" customWidth="1"/>
    <x:col min="12" max="12" width="55" hidden="0" customWidth="1"/>
    <x:col min="13" max="13" width="26" hidden="0" customWidth="1"/>
    <x:col min="14" max="14" width="16" hidden="0" customWidth="1"/>
    <x:col min="15" max="15" width="38" hidden="0" customWidth="1"/>
    <x:col min="16" max="16" width="16" hidden="0" customWidth="1"/>
    <x:col min="17" max="17" width="19" hidden="0" customWidth="1"/>
    <x:col min="18" max="18" width="13" hidden="0" customWidth="1"/>
    <x:col min="19" max="19" width="15" hidden="0" customWidth="1"/>
    <x:col min="20" max="20" width="52" hidden="0" customWidth="1"/>
    <x:col min="21" max="21" width="18" hidden="0" customWidth="1"/>
    <x:col min="22" max="22" width="34" hidden="0" customWidth="1"/>
    <x:col min="23" max="23" width="10" hidden="0" customWidth="1"/>
    <x:col min="24" max="24" width="10" hidden="0" customWidth="1"/>
    <x:col min="25" max="25" width="10" hidden="0" customWidth="1"/>
    <x:col min="26" max="26" width="10" hidden="0" customWidth="1"/>
    <x:col min="27" max="27" width="42" hidden="0" customWidth="1"/>
    <x:col min="28" max="28" width="50" hidden="0" customWidth="1"/>
    <x:col min="29" max="29" width="45" hidden="0" customWidth="1"/>
    <x:col min="30" max="30" width="43" hidden="0" customWidth="1"/>
    <x:col min="31" max="31" width="14" hidden="0" customWidth="1"/>
    <x:col min="32" max="32" width="24" hidden="0" customWidth="1"/>
    <x:col min="33" max="33" width="42" hidden="0" customWidth="1"/>
  </x:cols>
  <x:sheetData>
    <x:row r="1" ht="34" customHeight="1">
      <x:c r="A1" s="7" t="str">
        <x:v>S2 — registro maestro de cribado a texto completo</x:v>
      </x:c>
      <x:c r="B1" s="7" t="str">
        <x:v>S2 — registro maestro de cribado a texto completo</x:v>
      </x:c>
      <x:c r="C1" s="7" t="str">
        <x:v>S2 — registro maestro de cribado a texto completo</x:v>
      </x:c>
      <x:c r="D1" s="7" t="str">
        <x:v>S2 — registro maestro de cribado a texto completo</x:v>
      </x:c>
      <x:c r="E1" s="7" t="str">
        <x:v>S2 — registro maestro de cribado a texto completo</x:v>
      </x:c>
      <x:c r="F1" s="7" t="str">
        <x:v>S2 — registro maestro de cribado a texto completo</x:v>
      </x:c>
      <x:c r="G1" s="7" t="str">
        <x:v>S2 — registro maestro de cribado a texto completo</x:v>
      </x:c>
      <x:c r="H1" s="7" t="str">
        <x:v>S2 — registro maestro de cribado a texto completo</x:v>
      </x:c>
      <x:c r="I1" s="7" t="str">
        <x:v>S2 — registro maestro de cribado a texto completo</x:v>
      </x:c>
      <x:c r="J1" s="7" t="str">
        <x:v>S2 — registro maestro de cribado a texto completo</x:v>
      </x:c>
      <x:c r="K1" s="7" t="str">
        <x:v>S2 — registro maestro de cribado a texto completo</x:v>
      </x:c>
      <x:c r="L1" s="7" t="str">
        <x:v>S2 — registro maestro de cribado a texto completo</x:v>
      </x:c>
      <x:c r="M1" s="7" t="str">
        <x:v>S2 — registro maestro de cribado a texto completo</x:v>
      </x:c>
      <x:c r="N1" s="7" t="str">
        <x:v>S2 — registro maestro de cribado a texto completo</x:v>
      </x:c>
      <x:c r="O1" s="7" t="str">
        <x:v>S2 — registro maestro de cribado a texto completo</x:v>
      </x:c>
      <x:c r="P1" s="7" t="str">
        <x:v>S2 — registro maestro de cribado a texto completo</x:v>
      </x:c>
      <x:c r="Q1" s="7" t="str">
        <x:v>S2 — registro maestro de cribado a texto completo</x:v>
      </x:c>
      <x:c r="R1" s="7" t="str">
        <x:v>S2 — registro maestro de cribado a texto completo</x:v>
      </x:c>
      <x:c r="S1" s="7" t="str">
        <x:v>S2 — registro maestro de cribado a texto completo</x:v>
      </x:c>
      <x:c r="T1" s="7" t="str">
        <x:v>S2 — registro maestro de cribado a texto completo</x:v>
      </x:c>
      <x:c r="U1" s="7" t="str">
        <x:v>S2 — registro maestro de cribado a texto completo</x:v>
      </x:c>
      <x:c r="V1" s="7" t="str">
        <x:v>S2 — registro maestro de cribado a texto completo</x:v>
      </x:c>
      <x:c r="W1" s="7" t="str">
        <x:v>S2 — registro maestro de cribado a texto completo</x:v>
      </x:c>
      <x:c r="X1" s="7" t="str">
        <x:v>S2 — registro maestro de cribado a texto completo</x:v>
      </x:c>
      <x:c r="Y1" s="7" t="str">
        <x:v>S2 — registro maestro de cribado a texto completo</x:v>
      </x:c>
      <x:c r="Z1" s="7" t="str">
        <x:v>S2 — registro maestro de cribado a texto completo</x:v>
      </x:c>
      <x:c r="AA1" s="7" t="str">
        <x:v>S2 — registro maestro de cribado a texto completo</x:v>
      </x:c>
      <x:c r="AB1" s="7" t="str">
        <x:v>S2 — registro maestro de cribado a texto completo</x:v>
      </x:c>
      <x:c r="AC1" s="7" t="str">
        <x:v>S2 — registro maestro de cribado a texto completo</x:v>
      </x:c>
      <x:c r="AD1" s="7" t="str">
        <x:v>S2 — registro maestro de cribado a texto completo</x:v>
      </x:c>
      <x:c r="AE1" s="7" t="str">
        <x:v>S2 — registro maestro de cribado a texto completo</x:v>
      </x:c>
      <x:c r="AF1" s="7" t="str">
        <x:v>S2 — registro maestro de cribado a texto completo</x:v>
      </x:c>
      <x:c r="AG1" s="7" t="str">
        <x:v>S2 — registro maestro de cribado a texto completo</x:v>
      </x:c>
    </x:row>
    <x:row r="2" ht="30" customHeight="1">
      <x:c r="A2" s="12" t="str">
        <x:v>Una fila por candidato; filtros, validaciones y códigos diseñados para actualizar el mismo archivo después de cada lote.</x:v>
      </x:c>
      <x:c r="B2" s="12" t="str">
        <x:v>Una fila por candidato; filtros, validaciones y códigos diseñados para actualizar el mismo archivo después de cada lote.</x:v>
      </x:c>
      <x:c r="C2" s="12" t="str">
        <x:v>Una fila por candidato; filtros, validaciones y códigos diseñados para actualizar el mismo archivo después de cada lote.</x:v>
      </x:c>
      <x:c r="D2" s="12" t="str">
        <x:v>Una fila por candidato; filtros, validaciones y códigos diseñados para actualizar el mismo archivo después de cada lote.</x:v>
      </x:c>
      <x:c r="E2" s="12" t="str">
        <x:v>Una fila por candidato; filtros, validaciones y códigos diseñados para actualizar el mismo archivo después de cada lote.</x:v>
      </x:c>
      <x:c r="F2" s="12" t="str">
        <x:v>Una fila por candidato; filtros, validaciones y códigos diseñados para actualizar el mismo archivo después de cada lote.</x:v>
      </x:c>
      <x:c r="G2" s="12" t="str">
        <x:v>Una fila por candidato; filtros, validaciones y códigos diseñados para actualizar el mismo archivo después de cada lote.</x:v>
      </x:c>
      <x:c r="H2" s="12" t="str">
        <x:v>Una fila por candidato; filtros, validaciones y códigos diseñados para actualizar el mismo archivo después de cada lote.</x:v>
      </x:c>
      <x:c r="I2" s="12" t="str">
        <x:v>Una fila por candidato; filtros, validaciones y códigos diseñados para actualizar el mismo archivo después de cada lote.</x:v>
      </x:c>
      <x:c r="J2" s="12" t="str">
        <x:v>Una fila por candidato; filtros, validaciones y códigos diseñados para actualizar el mismo archivo después de cada lote.</x:v>
      </x:c>
      <x:c r="K2" s="12" t="str">
        <x:v>Una fila por candidato; filtros, validaciones y códigos diseñados para actualizar el mismo archivo después de cada lote.</x:v>
      </x:c>
      <x:c r="L2" s="12" t="str">
        <x:v>Una fila por candidato; filtros, validaciones y códigos diseñados para actualizar el mismo archivo después de cada lote.</x:v>
      </x:c>
      <x:c r="M2" s="12" t="str">
        <x:v>Una fila por candidato; filtros, validaciones y códigos diseñados para actualizar el mismo archivo después de cada lote.</x:v>
      </x:c>
      <x:c r="N2" s="12" t="str">
        <x:v>Una fila por candidato; filtros, validaciones y códigos diseñados para actualizar el mismo archivo después de cada lote.</x:v>
      </x:c>
      <x:c r="O2" s="12" t="str">
        <x:v>Una fila por candidato; filtros, validaciones y códigos diseñados para actualizar el mismo archivo después de cada lote.</x:v>
      </x:c>
      <x:c r="P2" s="12" t="str">
        <x:v>Una fila por candidato; filtros, validaciones y códigos diseñados para actualizar el mismo archivo después de cada lote.</x:v>
      </x:c>
      <x:c r="Q2" s="12" t="str">
        <x:v>Una fila por candidato; filtros, validaciones y códigos diseñados para actualizar el mismo archivo después de cada lote.</x:v>
      </x:c>
      <x:c r="R2" s="12" t="str">
        <x:v>Una fila por candidato; filtros, validaciones y códigos diseñados para actualizar el mismo archivo después de cada lote.</x:v>
      </x:c>
      <x:c r="S2" s="12" t="str">
        <x:v>Una fila por candidato; filtros, validaciones y códigos diseñados para actualizar el mismo archivo después de cada lote.</x:v>
      </x:c>
      <x:c r="T2" s="12" t="str">
        <x:v>Una fila por candidato; filtros, validaciones y códigos diseñados para actualizar el mismo archivo después de cada lote.</x:v>
      </x:c>
      <x:c r="U2" s="12" t="str">
        <x:v>Una fila por candidato; filtros, validaciones y códigos diseñados para actualizar el mismo archivo después de cada lote.</x:v>
      </x:c>
      <x:c r="V2" s="12" t="str">
        <x:v>Una fila por candidato; filtros, validaciones y códigos diseñados para actualizar el mismo archivo después de cada lote.</x:v>
      </x:c>
      <x:c r="W2" s="12" t="str">
        <x:v>Una fila por candidato; filtros, validaciones y códigos diseñados para actualizar el mismo archivo después de cada lote.</x:v>
      </x:c>
      <x:c r="X2" s="12" t="str">
        <x:v>Una fila por candidato; filtros, validaciones y códigos diseñados para actualizar el mismo archivo después de cada lote.</x:v>
      </x:c>
      <x:c r="Y2" s="12" t="str">
        <x:v>Una fila por candidato; filtros, validaciones y códigos diseñados para actualizar el mismo archivo después de cada lote.</x:v>
      </x:c>
      <x:c r="Z2" s="12" t="str">
        <x:v>Una fila por candidato; filtros, validaciones y códigos diseñados para actualizar el mismo archivo después de cada lote.</x:v>
      </x:c>
      <x:c r="AA2" s="12" t="str">
        <x:v>Una fila por candidato; filtros, validaciones y códigos diseñados para actualizar el mismo archivo después de cada lote.</x:v>
      </x:c>
      <x:c r="AB2" s="12" t="str">
        <x:v>Una fila por candidato; filtros, validaciones y códigos diseñados para actualizar el mismo archivo después de cada lote.</x:v>
      </x:c>
      <x:c r="AC2" s="12" t="str">
        <x:v>Una fila por candidato; filtros, validaciones y códigos diseñados para actualizar el mismo archivo después de cada lote.</x:v>
      </x:c>
      <x:c r="AD2" s="12" t="str">
        <x:v>Una fila por candidato; filtros, validaciones y códigos diseñados para actualizar el mismo archivo después de cada lote.</x:v>
      </x:c>
      <x:c r="AE2" s="12" t="str">
        <x:v>Una fila por candidato; filtros, validaciones y códigos diseñados para actualizar el mismo archivo después de cada lote.</x:v>
      </x:c>
      <x:c r="AF2" s="12" t="str">
        <x:v>Una fila por candidato; filtros, validaciones y códigos diseñados para actualizar el mismo archivo después de cada lote.</x:v>
      </x:c>
      <x:c r="AG2" s="12" t="str">
        <x:v>Una fila por candidato; filtros, validaciones y códigos diseñados para actualizar el mismo archivo después de cada lote.</x:v>
      </x:c>
    </x:row>
    <x:row r="3">
      <x:c r="A3" s="2"/>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row>
    <x:row r="4" ht="38" customHeight="1">
      <x:c r="A4" s="71" t="str">
        <x:v>ID_S2</x:v>
      </x:c>
      <x:c r="B4" s="71" t="str">
        <x:v>Prioridad_pretexto</x:v>
      </x:c>
      <x:c r="C4" s="71" t="str">
        <x:v>Clase_cribado</x:v>
      </x:c>
      <x:c r="D4" s="71" t="str">
        <x:v>Rango_relevancia</x:v>
      </x:c>
      <x:c r="E4" s="71" t="str">
        <x:v>Interfaz_prevista</x:v>
      </x:c>
      <x:c r="F4" s="71" t="str">
        <x:v>Motivo_preselección</x:v>
      </x:c>
      <x:c r="G4" s="71" t="str">
        <x:v>Lote</x:v>
      </x:c>
      <x:c r="H4" s="71" t="str">
        <x:v>EID</x:v>
      </x:c>
      <x:c r="I4" s="71" t="str">
        <x:v>DOI</x:v>
      </x:c>
      <x:c r="J4" s="71" t="str">
        <x:v>Autores</x:v>
      </x:c>
      <x:c r="K4" s="71" t="str">
        <x:v>Año</x:v>
      </x:c>
      <x:c r="L4" s="71" t="str">
        <x:v>Título</x:v>
      </x:c>
      <x:c r="M4" s="71" t="str">
        <x:v>Fuente</x:v>
      </x:c>
      <x:c r="N4" s="71" t="str">
        <x:v>Tipo_documento</x:v>
      </x:c>
      <x:c r="O4" s="71" t="str">
        <x:v>Enlace_Scopus</x:v>
      </x:c>
      <x:c r="P4" s="71" t="str">
        <x:v>Recuperación</x:v>
      </x:c>
      <x:c r="Q4" s="71" t="str">
        <x:v>Estado_texto_completo</x:v>
      </x:c>
      <x:c r="R4" s="71" t="str">
        <x:v>Decisión</x:v>
      </x:c>
      <x:c r="S4" s="71" t="str">
        <x:v>Código_motivo</x:v>
      </x:c>
      <x:c r="T4" s="71" t="str">
        <x:v>Justificación_decisión</x:v>
      </x:c>
      <x:c r="U4" s="71" t="str">
        <x:v>Unidad_despliegue</x:v>
      </x:c>
      <x:c r="V4" s="71" t="str">
        <x:v>Tipo_evidencia</x:v>
      </x:c>
      <x:c r="W4" s="71" t="str">
        <x:v>I12</x:v>
      </x:c>
      <x:c r="X4" s="71" t="str">
        <x:v>I23</x:v>
      </x:c>
      <x:c r="Y4" s="71" t="str">
        <x:v>I3M</x:v>
      </x:c>
      <x:c r="Z4" s="71" t="str">
        <x:v>IM1</x:v>
      </x:c>
      <x:c r="AA4" s="71" t="str">
        <x:v>Rol_en_A3M</x:v>
      </x:c>
      <x:c r="AB4" s="71" t="str">
        <x:v>Limitación_principal</x:v>
      </x:c>
      <x:c r="AC4" s="71" t="str">
        <x:v>Archivo_revisado</x:v>
      </x:c>
      <x:c r="AD4" s="71" t="str">
        <x:v>PDF_final_renombrado</x:v>
      </x:c>
      <x:c r="AE4" s="71" t="str">
        <x:v>Fecha_evaluación</x:v>
      </x:c>
      <x:c r="AF4" s="71" t="str">
        <x:v>Revisor</x:v>
      </x:c>
      <x:c r="AG4" s="71" t="str">
        <x:v>Observaciones</x:v>
      </x:c>
    </x:row>
    <x:row r="5" ht="56" customHeight="1">
      <x:c r="A5" s="77" t="n">
        <x:v>5</x:v>
      </x:c>
      <x:c r="B5" s="73" t="str">
        <x:v>P1—Top100 A</x:v>
      </x:c>
      <x:c r="C5" s="78" t="str">
        <x:v>A</x:v>
      </x:c>
      <x:c r="D5" s="79" t="n">
        <x:v>11</x:v>
      </x:c>
      <x:c r="E5" s="78" t="str">
        <x:v>I12; I3M</x:v>
      </x:c>
      <x:c r="F5" s="73" t="str">
        <x:v>Analiza AIoT en países de bajos ingresos desde infraestructura, capacidades, desigualdad y resiliencia.</x:v>
      </x:c>
      <x:c r="G5" s="79" t="n">
        <x:v>2</x:v>
      </x:c>
      <x:c r="H5" s="78" t="str">
        <x:v>2-s2.0-105031165975</x:v>
      </x:c>
      <x:c r="I5" s="78" t="str">
        <x:v>10.3390/fi18020082</x:v>
      </x:c>
      <x:c r="J5" s="73" t="str">
        <x:v>Kasereka S.K.; Mbayandjambe A.M.; Bazie I.G.; Zeufack H.F.; Ocama O.V.; Hassan E.; Kyamakya K.; Tashev T.</x:v>
      </x:c>
      <x:c r="K5" s="79" t="n">
        <x:v>2026</x:v>
      </x:c>
      <x:c r="L5" s="73" t="str">
        <x:v>From IoT to AIoT: Evolving Agricultural Systems Through Intelligent Connectivity in Low-Income Countries</x:v>
      </x:c>
      <x:c r="M5" s="73" t="str">
        <x:v>Future Internet</x:v>
      </x:c>
      <x:c r="N5" s="73" t="str">
        <x:v>Review</x:v>
      </x:c>
      <x:c r="O5" s="73" t="str">
        <x:v>https://www.scopus.com/pages/publications/105031165975?origin=resultslist</x:v>
      </x:c>
      <x:c r="P5" s="78" t="str">
        <x:v>Recuperado</x:v>
      </x:c>
      <x:c r="Q5" s="78" t="str">
        <x:v>Evaluado</x:v>
      </x:c>
      <x:c r="R5" s="78" t="str">
        <x:v>Incluir</x:v>
      </x:c>
      <x:c r="S5" s="78" t="str"/>
      <x:c r="T5" s="73" t="str">
        <x:v>Sintetiza restricciones de electricidad, conectividad, capacidad técnica, mantenimiento y gobernanza en países de bajos ingresos, y las relaciona con arquitecturas IoT/AIoT adaptadas al contexto.</x:v>
      </x:c>
      <x:c r="U5" s="78" t="str">
        <x:v>No aplica (revisión)</x:v>
      </x:c>
      <x:c r="V5" s="78" t="str">
        <x:v>Revisión narrativa sistematizada (PRISMA 2020)</x:v>
      </x:c>
      <x:c r="W5" s="78" t="str">
        <x:v>Sí</x:v>
      </x:c>
      <x:c r="X5" s="78" t="str">
        <x:v>Parcial</x:v>
      </x:c>
      <x:c r="Y5" s="78" t="str">
        <x:v>Sí</x:v>
      </x:c>
      <x:c r="Z5" s="78" t="str">
        <x:v>No</x:v>
      </x:c>
      <x:c r="AA5" s="73" t="str">
        <x:v>Evidencia secundaria sobre contextualización y soportabilidad de IoT/AIoT bajo restricciones de recursos.</x:v>
      </x:c>
      <x:c r="AB5" s="73" t="str">
        <x:v>Literatura heterogénea, arquitectura propuesta sin validación de campo y trazabilidad limitada a casos individuales.</x:v>
      </x:c>
      <x:c r="AC5" s="73" t="str">
        <x:v>From IoT to AIoT Evolving Agricultural Systems Through Intelligent Connectivity in Low-Income Countries.pdf</x:v>
      </x:c>
      <x:c r="AD5" s="73" t="str">
        <x:v>S2_SCOPUS_005_From_IoT_to_AIoT_Low_Income_Countries.pdf</x:v>
      </x:c>
      <x:c r="AE5" s="80" t="n">
        <x:v>46251.5</x:v>
      </x:c>
      <x:c r="AF5" s="73" t="str">
        <x:v>Codex (revisión asistida)</x:v>
      </x:c>
      <x:c r="AG5" s="73" t="str">
        <x:v>Lote 2 cerrado.</x:v>
      </x:c>
    </x:row>
    <x:row r="6" ht="56" customHeight="1">
      <x:c r="A6" s="77" t="n">
        <x:v>6</x:v>
      </x:c>
      <x:c r="B6" s="73" t="str">
        <x:v>P1—Top100 A</x:v>
      </x:c>
      <x:c r="C6" s="78" t="str">
        <x:v>A</x:v>
      </x:c>
      <x:c r="D6" s="79" t="n">
        <x:v>15</x:v>
      </x:c>
      <x:c r="E6" s="78" t="str">
        <x:v>I23; I3M</x:v>
      </x:c>
      <x:c r="F6" s="73" t="str">
        <x:v>La integración IoT–AI–blockchain y sus barreras sociotécnicas constituyen el problema central de la revisión.</x:v>
      </x:c>
      <x:c r="G6" s="79" t="n">
        <x:v>5</x:v>
      </x:c>
      <x:c r="H6" s="78" t="str">
        <x:v>2-s2.0-105017280958</x:v>
      </x:c>
      <x:c r="I6" s="78" t="str">
        <x:v>10.1016/j.iot.2025.101778</x:v>
      </x:c>
      <x:c r="J6" s="73" t="str">
        <x:v>Rustemi A.; Dalipi F.</x:v>
      </x:c>
      <x:c r="K6" s="79" t="n">
        <x:v>2025</x:v>
      </x:c>
      <x:c r="L6" s="73" t="str">
        <x:v>Synergizing IoT, AI, and blockchain for smart agriculture: Challenges, opportunities, and future directions</x:v>
      </x:c>
      <x:c r="M6" s="73" t="str">
        <x:v>Internet of Things (The Netherlands)</x:v>
      </x:c>
      <x:c r="N6" s="73" t="str">
        <x:v>Review</x:v>
      </x:c>
      <x:c r="O6" s="73" t="str">
        <x:v>https://www.scopus.com/pages/publications/105017280958?origin=resultslist</x:v>
      </x:c>
      <x:c r="P6" s="78" t="str">
        <x:v>Recuperado</x:v>
      </x:c>
      <x:c r="Q6" s="78" t="str">
        <x:v>Evaluado</x:v>
      </x:c>
      <x:c r="R6" s="78" t="str">
        <x:v>Incluir</x:v>
      </x:c>
      <x:c r="S6" s="78" t="str"/>
      <x:c r="T6" s="73" t="str">
        <x:v>La revisión sistemática de 35 estudios examina explícitamente las barreras sociotécnicas para el despliegue conjunto de IoT, IA y blockchain: costos, brecha de habilidades, infraestructura rural, interoperabilidad, estandarización, calidad de datos, consumo energético, mantenimiento y confiabilidad. Además, vincula las condiciones locales y de conectividad con decisiones de arquitectura, calibración, respaldo, capacitación y supervisión humana.</x:v>
      </x:c>
      <x:c r="U6" s="78" t="str">
        <x:v>No aplica (revisión)</x:v>
      </x:c>
      <x:c r="V6" s="78" t="str">
        <x:v>Revisión sistemática con PRISMA y evaluación de calidad de 35 estudios</x:v>
      </x:c>
      <x:c r="W6" s="78" t="str">
        <x:v>Sí</x:v>
      </x:c>
      <x:c r="X6" s="78" t="str">
        <x:v>Parcial</x:v>
      </x:c>
      <x:c r="Y6" s="78" t="str">
        <x:v>Sí</x:v>
      </x:c>
      <x:c r="Z6" s="78" t="str">
        <x:v>No</x:v>
      </x:c>
      <x:c r="AA6" s="73" t="str">
        <x:v>Evidencia secundaria sobre integración tecnológica, contextualización y soportabilidad de sistemas agrícolas IoT-IA-blockchain.</x:v>
      </x:c>
      <x:c r="AB6" s="73" t="str">
        <x:v>La evidencia primaria es heterogénea y con escasos despliegues longitudinales; muchas soluciones son conceptuales o pilotos, y la arquitectura integradora propuesta no se valida en campo.</x:v>
      </x:c>
      <x:c r="AC6" s="73" t="str">
        <x:v>Synergizing IoT, AI, and blockchain for smart agriculture.pdf</x:v>
      </x:c>
      <x:c r="AD6" s="73" t="str">
        <x:v>S2_SCOPUS_006_Synergizing_IoT_AI_Blockchain_Smart_Agriculture.pdf</x:v>
      </x:c>
      <x:c r="AE6" s="80" t="n">
        <x:v>46251.5</x:v>
      </x:c>
      <x:c r="AF6" s="73" t="str">
        <x:v>Codex (revisión asistida)</x:v>
      </x:c>
      <x:c r="AG6" s="73" t="str">
        <x:v>Lote 5: decisión cerrada.</x:v>
      </x:c>
    </x:row>
    <x:row r="7" ht="56" customHeight="1">
      <x:c r="A7" s="77" t="n">
        <x:v>7</x:v>
      </x:c>
      <x:c r="B7" s="73" t="str">
        <x:v>P1—Top100 A</x:v>
      </x:c>
      <x:c r="C7" s="78" t="str">
        <x:v>A</x:v>
      </x:c>
      <x:c r="D7" s="79" t="n">
        <x:v>18</x:v>
      </x:c>
      <x:c r="E7" s="78" t="str">
        <x:v>I12; I23</x:v>
      </x:c>
      <x:c r="F7" s="73" t="str">
        <x:v>Parte de la falta de contexto y valida en campo metadatos interoperables para conectar operación y conocimiento.</x:v>
      </x:c>
      <x:c r="G7" s="79" t="n">
        <x:v>3</x:v>
      </x:c>
      <x:c r="H7" s="78" t="str">
        <x:v>2-s2.0-105007431954</x:v>
      </x:c>
      <x:c r="I7" s="78" t="str">
        <x:v>10.1016/j.atech.2025.101073</x:v>
      </x:c>
      <x:c r="J7" s="73" t="str">
        <x:v>Basir M.S.; Zhang Y.; Buckmaster D.; Raturi A.; Krogmeier J.V.</x:v>
      </x:c>
      <x:c r="K7" s="79" t="n">
        <x:v>2025</x:v>
      </x:c>
      <x:c r="L7" s="73" t="str">
        <x:v>Meta Ag: An automatic agricultural contextual metadata collection app</x:v>
      </x:c>
      <x:c r="M7" s="73" t="str">
        <x:v>Smart Agricultural Technology</x:v>
      </x:c>
      <x:c r="N7" s="73" t="str">
        <x:v>Article</x:v>
      </x:c>
      <x:c r="O7" s="73" t="str">
        <x:v>https://www.scopus.com/pages/publications/105007431954?origin=resultslist</x:v>
      </x:c>
      <x:c r="P7" s="78" t="str">
        <x:v>Recuperado</x:v>
      </x:c>
      <x:c r="Q7" s="78" t="str">
        <x:v>Evaluado</x:v>
      </x:c>
      <x:c r="R7" s="78" t="str">
        <x:v>Incluir</x:v>
      </x:c>
      <x:c r="S7" s="78" t="str"/>
      <x:c r="T7" s="73" t="str">
        <x:v>Evalúa en parcelas reales la captura automática de metadatos contextuales, tanto con conexión como sin ella, y contrasta los eventos y tiempos detectados con registros manuales; además identifica dependencias de límites geográficos, dispositivo, batería, conectividad y nube.</x:v>
      </x:c>
      <x:c r="U7" s="78" t="str">
        <x:v>Parcial</x:v>
      </x:c>
      <x:c r="V7" s="78" t="str">
        <x:v>Prototipo funcional con evaluación de campo conectada y fuera de línea</x:v>
      </x:c>
      <x:c r="W7" s="78" t="str">
        <x:v>Sí</x:v>
      </x:c>
      <x:c r="X7" s="78" t="str">
        <x:v>Sí</x:v>
      </x:c>
      <x:c r="Y7" s="78" t="str">
        <x:v>Parcial</x:v>
      </x:c>
      <x:c r="Z7" s="78" t="str">
        <x:v>No</x:v>
      </x:c>
      <x:c r="AA7" s="73" t="str">
        <x:v>Caso empírico sobre contextualización, trazabilidad requisito-capacidad y tolerancia parcial a restricciones de conectividad.</x:v>
      </x:c>
      <x:c r="AB7" s="73" t="str">
        <x:v>La prueba fue realizada por el equipo investigador, sin agricultores, seguimiento prolongado ni evaluación participativa de usabilidad; la operación depende todavía de Android y de servicios de nube.</x:v>
      </x:c>
      <x:c r="AC7" s="73" t="str">
        <x:v>Meta Ag An automatic agricultural contextual metadata collection app.pdf</x:v>
      </x:c>
      <x:c r="AD7" s="73" t="str">
        <x:v>S2_SCOPUS_007_Meta_Ag_Contextual_Metadata_App.pdf</x:v>
      </x:c>
      <x:c r="AE7" s="80" t="n">
        <x:v>46251.5</x:v>
      </x:c>
      <x:c r="AF7" s="73" t="str">
        <x:v>Codex (revisión asistida)</x:v>
      </x:c>
      <x:c r="AG7" s="73" t="str">
        <x:v>Lote 3 cerrado.</x:v>
      </x:c>
    </x:row>
    <x:row r="8" ht="56" customHeight="1">
      <x:c r="A8" s="77" t="n">
        <x:v>8</x:v>
      </x:c>
      <x:c r="B8" s="73" t="str">
        <x:v>P1—Top100 A</x:v>
      </x:c>
      <x:c r="C8" s="78" t="str">
        <x:v>A</x:v>
      </x:c>
      <x:c r="D8" s="79" t="n">
        <x:v>20</x:v>
      </x:c>
      <x:c r="E8" s="78" t="str">
        <x:v>I12; I3M</x:v>
      </x:c>
      <x:c r="F8" s="73" t="str">
        <x:v>Evalúa preparación para Agricultura 4.0 mediante escala, financiamiento, instituciones, gobernanza, educación y habilidades.</x:v>
      </x:c>
      <x:c r="G8" s="79" t="n">
        <x:v>1</x:v>
      </x:c>
      <x:c r="H8" s="78" t="str">
        <x:v>2-s2.0-85109074034</x:v>
      </x:c>
      <x:c r="I8" s="78" t="str">
        <x:v>10.3390/app11125750</x:v>
      </x:c>
      <x:c r="J8" s="73" t="str">
        <x:v>Jellason N.P.; Robinson E.J.Z.; Ogbaga C.C.</x:v>
      </x:c>
      <x:c r="K8" s="79" t="n">
        <x:v>2021</x:v>
      </x:c>
      <x:c r="L8" s="73" t="str">
        <x:v>Agriculture 4.0: Is sub-Saharan Africa ready?</x:v>
      </x:c>
      <x:c r="M8" s="73" t="str">
        <x:v>Applied Sciences (Switzerland)</x:v>
      </x:c>
      <x:c r="N8" s="73" t="str">
        <x:v>Article</x:v>
      </x:c>
      <x:c r="O8" s="73" t="str">
        <x:v>https://www.scopus.com/pages/publications/85109074034?origin=resultslist</x:v>
      </x:c>
      <x:c r="P8" s="78" t="str">
        <x:v>Recuperado</x:v>
      </x:c>
      <x:c r="Q8" s="78" t="str">
        <x:v>Evaluado</x:v>
      </x:c>
      <x:c r="R8" s="78" t="str">
        <x:v>Excluir</x:v>
      </x:c>
      <x:c r="S8" s="78" t="str">
        <x:v>E01</x:v>
      </x:c>
      <x:c r="T8" s="73" t="str">
        <x:v>Perspectiva regional sobre preparación para Agricultura 4.0; no presenta un despliegue delimitado ni evidencia trazable específica del despliegue.</x:v>
      </x:c>
      <x:c r="U8" s="78" t="str">
        <x:v>No</x:v>
      </x:c>
      <x:c r="V8" s="78" t="str">
        <x:v>Perspectiva y revisión regional</x:v>
      </x:c>
      <x:c r="W8" s="78" t="str">
        <x:v>No evaluable</x:v>
      </x:c>
      <x:c r="X8" s="78" t="str">
        <x:v>No evaluable</x:v>
      </x:c>
      <x:c r="Y8" s="78" t="str">
        <x:v>No evaluable</x:v>
      </x:c>
      <x:c r="Z8" s="78" t="str">
        <x:v>No evaluable</x:v>
      </x:c>
      <x:c r="AA8" s="73" t="str">
        <x:v>Contexto macro; no elegible para el corpus de despliegues</x:v>
      </x:c>
      <x:c r="AB8" s="73" t="str">
        <x:v>La escala regional impide aplicar de forma consistente la unidad de análisis de A³M.</x:v>
      </x:c>
      <x:c r="AC8" s="73" t="str">
        <x:v>Agriculture 4.0 Is Sub-Saharan Africa Ready.pdf</x:v>
      </x:c>
      <x:c r="AD8" s="73" t="str"/>
      <x:c r="AE8" s="80" t="n">
        <x:v>46251.5</x:v>
      </x:c>
      <x:c r="AF8" s="73" t="str">
        <x:v>Codex (revisión asistida)</x:v>
      </x:c>
      <x:c r="AG8" s="73" t="str">
        <x:v>Lote 1 cerrado.</x:v>
      </x:c>
    </x:row>
    <x:row r="9" ht="56" customHeight="1">
      <x:c r="A9" s="77" t="n">
        <x:v>9</x:v>
      </x:c>
      <x:c r="B9" s="73" t="str">
        <x:v>P1—Top100 A</x:v>
      </x:c>
      <x:c r="C9" s="78" t="str">
        <x:v>A</x:v>
      </x:c>
      <x:c r="D9" s="79" t="n">
        <x:v>22</x:v>
      </x:c>
      <x:c r="E9" s="78" t="str">
        <x:v>I23; I3M</x:v>
      </x:c>
      <x:c r="F9" s="73" t="str">
        <x:v>La confiabilidad y continuidad de servicio en la cadena IoT–fog–cloud agrícola son el problema central.</x:v>
      </x:c>
      <x:c r="G9" s="79" t="n">
        <x:v>4</x:v>
      </x:c>
      <x:c r="H9" s="78" t="str">
        <x:v>2-s2.0-85135394537</x:v>
      </x:c>
      <x:c r="I9" s="78" t="str">
        <x:v>10.1016/j.compag.2022.107252</x:v>
      </x:c>
      <x:c r="J9" s="73" t="str">
        <x:v>Montoya-Munoz A.I.; Silva R.A.C.D.; Rendon O.M.C.; Fonseca N.L.S.D.</x:v>
      </x:c>
      <x:c r="K9" s="79" t="n">
        <x:v>2022</x:v>
      </x:c>
      <x:c r="L9" s="73" t="str">
        <x:v>Reliability provisioning for Fog Nodes in Smart Farming IoT-Fog-Cloud continuum</x:v>
      </x:c>
      <x:c r="M9" s="73" t="str">
        <x:v>Computers and Electronics in Agriculture</x:v>
      </x:c>
      <x:c r="N9" s="73" t="str">
        <x:v>Article</x:v>
      </x:c>
      <x:c r="O9" s="73" t="str">
        <x:v>https://www.scopus.com/pages/publications/85135394537?origin=resultslist</x:v>
      </x:c>
      <x:c r="P9" s="78" t="str">
        <x:v>Recuperado</x:v>
      </x:c>
      <x:c r="Q9" s="78" t="str">
        <x:v>Evaluado</x:v>
      </x:c>
      <x:c r="R9" s="78" t="str">
        <x:v>Excluir</x:v>
      </x:c>
      <x:c r="S9" s="78" t="str">
        <x:v>E02</x:v>
      </x:c>
      <x:c r="T9" s="73" t="str">
        <x:v>Formula un modelo de optimización para dimensionar nodos fog redundantes y lo evalúa mediante programación lineal con parámetros derivados de una granja colombiana, pero no implementa los nodos, no observa fallos reales ni verifica recuperación o continuidad del servicio durante la operación.</x:v>
      </x:c>
      <x:c r="U9" s="78" t="str">
        <x:v>No</x:v>
      </x:c>
      <x:c r="V9" s="78" t="str">
        <x:v>Modelo de optimización con experimentos numéricos</x:v>
      </x:c>
      <x:c r="W9" s="78" t="str">
        <x:v>Parcial</x:v>
      </x:c>
      <x:c r="X9" s="78" t="str">
        <x:v>Parcial</x:v>
      </x:c>
      <x:c r="Y9" s="78" t="str">
        <x:v>Parcial</x:v>
      </x:c>
      <x:c r="Z9" s="78" t="str">
        <x:v>No</x:v>
      </x:c>
      <x:c r="AA9" s="73" t="str">
        <x:v>Evidencia analítica sobre compromisos entre confiabilidad, redundancia, recursos y costo, insuficiente para el corpus de despliegue.</x:v>
      </x:c>
      <x:c r="AB9" s="73" t="str">
        <x:v>La confiabilidad se deriva de valores parametrizados y escenarios numéricos; no existe implementación de campo, prueba de conmutación, mantenimiento ni observación longitudinal.</x:v>
      </x:c>
      <x:c r="AC9" s="73" t="str">
        <x:v>Reliability provisioning for Fog Nodes in Smart Farming IoT-Fog-Cloud.pdf</x:v>
      </x:c>
      <x:c r="AD9" s="73" t="str"/>
      <x:c r="AE9" s="80" t="n">
        <x:v>46251.5</x:v>
      </x:c>
      <x:c r="AF9" s="73" t="str">
        <x:v>Codex (revisión asistida)</x:v>
      </x:c>
      <x:c r="AG9" s="73" t="str">
        <x:v>Lote 4: decisión cerrada.</x:v>
      </x:c>
    </x:row>
    <x:row r="10" ht="56" customHeight="1">
      <x:c r="A10" s="77" t="n">
        <x:v>10</x:v>
      </x:c>
      <x:c r="B10" s="73" t="str">
        <x:v>P1—Top100 A</x:v>
      </x:c>
      <x:c r="C10" s="78" t="str">
        <x:v>A</x:v>
      </x:c>
      <x:c r="D10" s="79" t="n">
        <x:v>24</x:v>
      </x:c>
      <x:c r="E10" s="78" t="str">
        <x:v>I23; I3M</x:v>
      </x:c>
      <x:c r="F10" s="73" t="str">
        <x:v>Revisión dedicada a desafíos de implementación y mantenimiento de IoT en acuicultura.</x:v>
      </x:c>
      <x:c r="G10" s="79" t="n">
        <x:v>2</x:v>
      </x:c>
      <x:c r="H10" s="78" t="str">
        <x:v>2-s2.0-85147593383</x:v>
      </x:c>
      <x:c r="I10" s="78" t="str">
        <x:v>10.1016/j.atech.2023.100187</x:v>
      </x:c>
      <x:c r="J10" s="73" t="str">
        <x:v>Rastegari H.; Nadi F.; Lam S.S.; Ikhwanuddin M.; Kasan N.A.; Rahmat R.F.; Mahari W.A.W.</x:v>
      </x:c>
      <x:c r="K10" s="79" t="n">
        <x:v>2023</x:v>
      </x:c>
      <x:c r="L10" s="73" t="str">
        <x:v>Internet of Things in aquaculture: A review of the challenges and potential solutions based on current and future trends</x:v>
      </x:c>
      <x:c r="M10" s="73" t="str">
        <x:v>Smart Agricultural Technology</x:v>
      </x:c>
      <x:c r="N10" s="73" t="str">
        <x:v>Review</x:v>
      </x:c>
      <x:c r="O10" s="73" t="str">
        <x:v>https://www.scopus.com/pages/publications/85147593383?origin=resultslist</x:v>
      </x:c>
      <x:c r="P10" s="78" t="str">
        <x:v>Recuperado</x:v>
      </x:c>
      <x:c r="Q10" s="78" t="str">
        <x:v>Evaluado</x:v>
      </x:c>
      <x:c r="R10" s="78" t="str">
        <x:v>Incluir</x:v>
      </x:c>
      <x:c r="S10" s="78" t="str"/>
      <x:c r="T10" s="73" t="str">
        <x:v>Identifica requisitos dependientes de especie y tipo de granja, así como recalibración, corrosión, limpieza, energía, conectividad, pérdida de datos y soporte como condiciones de operación de IoT en acuicultura.</x:v>
      </x:c>
      <x:c r="U10" s="78" t="str">
        <x:v>No aplica (revisión)</x:v>
      </x:c>
      <x:c r="V10" s="78" t="str">
        <x:v>Revisión de literatura orientada a desafíos</x:v>
      </x:c>
      <x:c r="W10" s="78" t="str">
        <x:v>Sí</x:v>
      </x:c>
      <x:c r="X10" s="78" t="str">
        <x:v>Parcial</x:v>
      </x:c>
      <x:c r="Y10" s="78" t="str">
        <x:v>Sí</x:v>
      </x:c>
      <x:c r="Z10" s="78" t="str">
        <x:v>No</x:v>
      </x:c>
      <x:c r="AA10" s="73" t="str">
        <x:v>Evidencia secundaria sobre mantenimiento, infraestructura, confiabilidad de datos y soporte en IoT acuícola.</x:v>
      </x:c>
      <x:c r="AB10" s="73" t="str">
        <x:v>Búsqueda restringida a Web of Science y Google Scholar, ventana 2018–2022 y ausencia de evaluación formal de calidad; varias soluciones son propuestas.</x:v>
      </x:c>
      <x:c r="AC10" s="73" t="str">
        <x:v>Internet of Things in aquaculture A review of the challenges and potential.pdf</x:v>
      </x:c>
      <x:c r="AD10" s="73" t="str">
        <x:v>S2_SCOPUS_010_IoT_Aquaculture_Challenges_Solutions.pdf</x:v>
      </x:c>
      <x:c r="AE10" s="80" t="n">
        <x:v>46251.5</x:v>
      </x:c>
      <x:c r="AF10" s="73" t="str">
        <x:v>Codex (revisión asistida)</x:v>
      </x:c>
      <x:c r="AG10" s="73" t="str">
        <x:v>Lote 2 cerrado.</x:v>
      </x:c>
    </x:row>
    <x:row r="11" ht="56" customHeight="1">
      <x:c r="A11" s="77" t="n">
        <x:v>11</x:v>
      </x:c>
      <x:c r="B11" s="73" t="str">
        <x:v>P1—Top100 A</x:v>
      </x:c>
      <x:c r="C11" s="78" t="str">
        <x:v>A</x:v>
      </x:c>
      <x:c r="D11" s="79" t="n">
        <x:v>27</x:v>
      </x:c>
      <x:c r="E11" s="78" t="str">
        <x:v>I23; I3M</x:v>
      </x:c>
      <x:c r="F11" s="73" t="str">
        <x:v>Revisión centrada en eficiencia de recursos y operación prolongada de redes ubicuas de sensores agrícolas.</x:v>
      </x:c>
      <x:c r="G11" s="79" t="n">
        <x:v>4</x:v>
      </x:c>
      <x:c r="H11" s="78" t="str">
        <x:v>2-s2.0-85212409014</x:v>
      </x:c>
      <x:c r="I11" s="78" t="str">
        <x:v>10.1109/ACCESS.2024.3516814</x:v>
      </x:c>
      <x:c r="J11" s="73" t="str">
        <x:v>Arif M.; Maya J.A.; Anandan N.; Perez D.A.; Tonello A.M.; Zangl H.; Rinner B.</x:v>
      </x:c>
      <x:c r="K11" s="79" t="n">
        <x:v>2024</x:v>
      </x:c>
      <x:c r="L11" s="73" t="str">
        <x:v>Resource-Efficient Ubiquitous Sensor Networks for Smart Agriculture: A Survey</x:v>
      </x:c>
      <x:c r="M11" s="73" t="str">
        <x:v>IEEE Access</x:v>
      </x:c>
      <x:c r="N11" s="73" t="str">
        <x:v>Article</x:v>
      </x:c>
      <x:c r="O11" s="73" t="str">
        <x:v>https://www.scopus.com/pages/publications/85212409014?origin=resultslist</x:v>
      </x:c>
      <x:c r="P11" s="78" t="str">
        <x:v>Recuperado</x:v>
      </x:c>
      <x:c r="Q11" s="78" t="str">
        <x:v>Evaluado</x:v>
      </x:c>
      <x:c r="R11" s="78" t="str">
        <x:v>Incluir</x:v>
      </x:c>
      <x:c r="S11" s="78" t="str"/>
      <x:c r="T11" s="73" t="str">
        <x:v>La revisión vincula los requisitos agrícolas de gran cobertura, ambientes hostiles y operación prolongada con energía, comunicaciones, procesamiento, mantenimiento, costo, escalabilidad, interoperabilidad y resiliencia de redes de sensores; además identifica que predominan prototipos y despliegues pequeños.</x:v>
      </x:c>
      <x:c r="U11" s="78" t="str">
        <x:v>No aplica (revisión)</x:v>
      </x:c>
      <x:c r="V11" s="78" t="str">
        <x:v>Revisión sistemática técnica con criterios de selección</x:v>
      </x:c>
      <x:c r="W11" s="78" t="str">
        <x:v>Sí</x:v>
      </x:c>
      <x:c r="X11" s="78" t="str">
        <x:v>Parcial</x:v>
      </x:c>
      <x:c r="Y11" s="78" t="str">
        <x:v>Sí</x:v>
      </x:c>
      <x:c r="Z11" s="78" t="str">
        <x:v>No</x:v>
      </x:c>
      <x:c r="AA11" s="73" t="str">
        <x:v>Evidencia secundaria sobre contextualización, aprovisionamiento de recursos y soportabilidad de redes ubicuas de sensores agrícolas.</x:v>
      </x:c>
      <x:c r="AB11" s="73" t="str">
        <x:v>La evidencia es heterogénea y predominantemente técnica; no presenta evaluación formal de calidad ni extracción longitudinal por despliegue, y reconoce que la mayoría de las aplicaciones sigue en prototipos o pequeña escala.</x:v>
      </x:c>
      <x:c r="AC11" s="73" t="str">
        <x:v>Resource-Efficient_Ubiquitous_Sensor_Networks_for_Smart_Agriculture_A_Survey.pdf</x:v>
      </x:c>
      <x:c r="AD11" s="73" t="str">
        <x:v>S2_SCOPUS_011_Resource_Efficient_Sensor_Networks_Survey.pdf</x:v>
      </x:c>
      <x:c r="AE11" s="80" t="n">
        <x:v>46251.5</x:v>
      </x:c>
      <x:c r="AF11" s="73" t="str">
        <x:v>Codex (revisión asistida)</x:v>
      </x:c>
      <x:c r="AG11" s="73" t="str">
        <x:v>Lote 4: decisión cerrada.</x:v>
      </x:c>
    </x:row>
    <x:row r="12" ht="56" customHeight="1">
      <x:c r="A12" s="77" t="n">
        <x:v>12</x:v>
      </x:c>
      <x:c r="B12" s="73" t="str">
        <x:v>P1—Top100 A</x:v>
      </x:c>
      <x:c r="C12" s="78" t="str">
        <x:v>A</x:v>
      </x:c>
      <x:c r="D12" s="79" t="n">
        <x:v>34</x:v>
      </x:c>
      <x:c r="E12" s="78" t="str">
        <x:v>I23; I3M</x:v>
      </x:c>
      <x:c r="F12" s="73" t="str">
        <x:v>Revisión sistemática de sensores IoT–AI que identifica escalabilidad, interoperabilidad, costo y validación de campo como brechas.</x:v>
      </x:c>
      <x:c r="G12" s="79" t="n">
        <x:v>5</x:v>
      </x:c>
      <x:c r="H12" s="78" t="str">
        <x:v>2-s2.0-105008948541</x:v>
      </x:c>
      <x:c r="I12" s="78" t="str">
        <x:v>10.3390/s25123583</x:v>
      </x:c>
      <x:c r="J12" s="73" t="str">
        <x:v>Miller T.; Mikiciuk G.; Durlik I.; Mikiciuk M.; Łobodzińska A.; Śnieg M.</x:v>
      </x:c>
      <x:c r="K12" s="79" t="n">
        <x:v>2025</x:v>
      </x:c>
      <x:c r="L12" s="73" t="str">
        <x:v>The IoT and AI in Agriculture: The Time Is Now—A Systematic Review of Smart Sensing Technologies</x:v>
      </x:c>
      <x:c r="M12" s="73" t="str">
        <x:v>Sensors</x:v>
      </x:c>
      <x:c r="N12" s="73" t="str">
        <x:v>Review</x:v>
      </x:c>
      <x:c r="O12" s="73" t="str">
        <x:v>https://www.scopus.com/pages/publications/105008948541?origin=resultslist</x:v>
      </x:c>
      <x:c r="P12" s="78" t="str">
        <x:v>Recuperado</x:v>
      </x:c>
      <x:c r="Q12" s="78" t="str">
        <x:v>Evaluado</x:v>
      </x:c>
      <x:c r="R12" s="78" t="str">
        <x:v>Incluir</x:v>
      </x:c>
      <x:c r="S12" s="78" t="str"/>
      <x:c r="T12" s="73" t="str">
        <x:v>La revisión PRISMA de 112 estudios analiza sensores IoT e IA en cultivos y pastizales y extrae escalabilidad, costo y sostenibilidad. Documenta calibración y degradación de sensores, falta de interoperabilidad, conectividad rural, energía, mantenimiento y actualizaciones, capacitación, costos y escasez de validación de campo, además de identificar la brecha entre investigación e implementación.</x:v>
      </x:c>
      <x:c r="U12" s="78" t="str">
        <x:v>No aplica (revisión)</x:v>
      </x:c>
      <x:c r="V12" s="78" t="str">
        <x:v>Revisión sistemática PRISMA de 112 estudios</x:v>
      </x:c>
      <x:c r="W12" s="78" t="str">
        <x:v>Sí</x:v>
      </x:c>
      <x:c r="X12" s="78" t="str">
        <x:v>Parcial</x:v>
      </x:c>
      <x:c r="Y12" s="78" t="str">
        <x:v>Sí</x:v>
      </x:c>
      <x:c r="Z12" s="78" t="str">
        <x:v>No</x:v>
      </x:c>
      <x:c r="AA12" s="73" t="str">
        <x:v>Evidencia secundaria sobre ajuste contextual, brecha de validación-despliegue y soportabilidad de tecnologías inteligentes de sensado agrícola.</x:v>
      </x:c>
      <x:c r="AB12" s="73" t="str">
        <x:v>El filtro de acceso abierto excluyó 415 registros, la síntesis reúne tecnologías y contextos muy heterogéneos y no aporta una evaluación longitudinal comparable de continuidad o aprendizaje por despliegue.</x:v>
      </x:c>
      <x:c r="AC12" s="73" t="str">
        <x:v>The IoT and AI in Agriculture The Time Is Now—A Systematic Review of Smart Sensing Technologies.pdf</x:v>
      </x:c>
      <x:c r="AD12" s="73" t="str">
        <x:v>S2_SCOPUS_012_IoT_AI_Agriculture_Smart_Sensing_Review.pdf</x:v>
      </x:c>
      <x:c r="AE12" s="80" t="n">
        <x:v>46251.5</x:v>
      </x:c>
      <x:c r="AF12" s="73" t="str">
        <x:v>Codex (revisión asistida)</x:v>
      </x:c>
      <x:c r="AG12" s="73" t="str">
        <x:v>Lote 5: decisión cerrada.</x:v>
      </x:c>
    </x:row>
    <x:row r="13" ht="56" customHeight="1">
      <x:c r="A13" s="77" t="n">
        <x:v>13</x:v>
      </x:c>
      <x:c r="B13" s="73" t="str">
        <x:v>P1—Top100 A</x:v>
      </x:c>
      <x:c r="C13" s="78" t="str">
        <x:v>A</x:v>
      </x:c>
      <x:c r="D13" s="79" t="n">
        <x:v>35</x:v>
      </x:c>
      <x:c r="E13" s="78" t="str">
        <x:v>I12; I23; I3M</x:v>
      </x:c>
      <x:c r="F13" s="73" t="str">
        <x:v>Evalúa DSS públicos de riego, su infraestructura, accesibilidad, interoperabilidad, cobertura y operación regional.</x:v>
      </x:c>
      <x:c r="G13" s="79" t="n">
        <x:v>4</x:v>
      </x:c>
      <x:c r="H13" s="78" t="str">
        <x:v>2-s2.0-85203155225</x:v>
      </x:c>
      <x:c r="I13" s="78" t="str">
        <x:v>10.1016/j.atech.2024.100564</x:v>
      </x:c>
      <x:c r="J13" s="73" t="str">
        <x:v>Sportelli M.; Crivello A.; Bacco M.; Rallo G.; Brunori G.</x:v>
      </x:c>
      <x:c r="K13" s="79" t="n">
        <x:v>2024</x:v>
      </x:c>
      <x:c r="L13" s="73" t="str">
        <x:v>Public irrigation decision support systems (IDSS) in Italy: Description, evaluation and national context overview</x:v>
      </x:c>
      <x:c r="M13" s="73" t="str">
        <x:v>Smart Agricultural Technology</x:v>
      </x:c>
      <x:c r="N13" s="73" t="str">
        <x:v>Article</x:v>
      </x:c>
      <x:c r="O13" s="73" t="str">
        <x:v>https://www.scopus.com/pages/publications/85203155225?origin=resultslist</x:v>
      </x:c>
      <x:c r="P13" s="78" t="str">
        <x:v>Recuperado</x:v>
      </x:c>
      <x:c r="Q13" s="78" t="str">
        <x:v>Evaluado</x:v>
      </x:c>
      <x:c r="R13" s="78" t="str">
        <x:v>Incluir</x:v>
      </x:c>
      <x:c r="S13" s="78" t="str"/>
      <x:c r="T13" s="73" t="str">
        <x:v>Examina IDSS públicos activos, sus redes agrometeorológicas, cobertura regional, modelos, fuentes de datos y desempeño en accesibilidad, escalabilidad e interoperabilidad; documenta validaciones de campo, evolución de servicios, interrupciones, fragmentación institucional y restricciones de datos y costos.</x:v>
      </x:c>
      <x:c r="U13" s="78" t="str">
        <x:v>Parcial</x:v>
      </x:c>
      <x:c r="V13" s="78" t="str">
        <x:v>Encuesta descriptiva y evaluación comparativa de IDSS públicos operativos</x:v>
      </x:c>
      <x:c r="W13" s="78" t="str">
        <x:v>Sí</x:v>
      </x:c>
      <x:c r="X13" s="78" t="str">
        <x:v>Sí</x:v>
      </x:c>
      <x:c r="Y13" s="78" t="str">
        <x:v>Sí</x:v>
      </x:c>
      <x:c r="Z13" s="78" t="str">
        <x:v>Parcial</x:v>
      </x:c>
      <x:c r="AA13" s="73" t="str">
        <x:v>Evidencia comparativa fuerte sobre integración y continuidad de servicios públicos de riego, infraestructura regional y evolución durante el ciclo de vida.</x:v>
      </x:c>
      <x:c r="AB13" s="73" t="str">
        <x:v>La valoración por estrellas es cualitativa y se basa en documentación heterogénea; no aplica una prueba común de desempeño ni mide longitudinalmente resultados de usuarios para todos los sistemas.</x:v>
      </x:c>
      <x:c r="AC13" s="73" t="str">
        <x:v>Public irrigation decision support systems (IDSS) in Italy Description,.pdf</x:v>
      </x:c>
      <x:c r="AD13" s="73" t="str">
        <x:v>S2_SCOPUS_013_Public_Irrigation_DSS_Italy.pdf</x:v>
      </x:c>
      <x:c r="AE13" s="80" t="n">
        <x:v>46251.5</x:v>
      </x:c>
      <x:c r="AF13" s="73" t="str">
        <x:v>Codex (revisión asistida)</x:v>
      </x:c>
      <x:c r="AG13" s="73" t="str">
        <x:v>Lote 4: decisión cerrada.</x:v>
      </x:c>
    </x:row>
    <x:row r="14" ht="56" customHeight="1">
      <x:c r="A14" s="77" t="n">
        <x:v>14</x:v>
      </x:c>
      <x:c r="B14" s="73" t="str">
        <x:v>P1—Top100 A</x:v>
      </x:c>
      <x:c r="C14" s="78" t="str">
        <x:v>A</x:v>
      </x:c>
      <x:c r="D14" s="79" t="n">
        <x:v>37</x:v>
      </x:c>
      <x:c r="E14" s="78" t="str">
        <x:v>I12; I3M</x:v>
      </x:c>
      <x:c r="F14" s="73" t="str">
        <x:v>Estudio cualitativo transnacional centrado en barreras sociotécnicas para crear ecosistemas de plataformas agrícolas.</x:v>
      </x:c>
      <x:c r="G14" s="79"/>
      <x:c r="H14" s="78" t="str">
        <x:v>2-s2.0-105044357570</x:v>
      </x:c>
      <x:c r="I14" s="78" t="str">
        <x:v>10.1177/00307270261467067</x:v>
      </x:c>
      <x:c r="J14" s="73" t="str">
        <x:v>Wegner D.; Klingenberg C.O.; Scoponi L.M.; Ozgur Ş.G.; Sali M.B.D.; Marcelino R.</x:v>
      </x:c>
      <x:c r="K14" s="79" t="n">
        <x:v>2026</x:v>
      </x:c>
      <x:c r="L14" s="73" t="str">
        <x:v>Barriers to creating digital platform ecosystems in the agrifood sector: A cross-country analysis</x:v>
      </x:c>
      <x:c r="M14" s="73" t="str">
        <x:v>Outlook on Agriculture</x:v>
      </x:c>
      <x:c r="N14" s="73" t="str">
        <x:v>Article</x:v>
      </x:c>
      <x:c r="O14" s="73" t="str">
        <x:v>https://www.scopus.com/pages/publications/105044357570?origin=resultslist</x:v>
      </x:c>
      <x:c r="P14" s="78" t="str">
        <x:v>No recuperado</x:v>
      </x:c>
      <x:c r="Q14" s="78" t="str">
        <x:v>No evaluable</x:v>
      </x:c>
      <x:c r="R14" s="78" t="str">
        <x:v>No evaluable</x:v>
      </x:c>
      <x:c r="S14" s="78" t="str">
        <x:v>E07</x:v>
      </x:c>
      <x:c r="T14" s="73" t="str">
        <x:v>No se logró recuperar el texto completo. Se registra como E07 para control documental y PRISMA; no constituye una exclusión después de lectura a texto completo.</x:v>
      </x:c>
      <x:c r="U14" s="78" t="str">
        <x:v>No evaluable</x:v>
      </x:c>
      <x:c r="V14" s="78" t="str">
        <x:v>No disponible</x:v>
      </x:c>
      <x:c r="W14" s="78" t="str">
        <x:v>No evaluable</x:v>
      </x:c>
      <x:c r="X14" s="78" t="str">
        <x:v>No evaluable</x:v>
      </x:c>
      <x:c r="Y14" s="78" t="str">
        <x:v>No evaluable</x:v>
      </x:c>
      <x:c r="Z14" s="78" t="str">
        <x:v>No evaluable</x:v>
      </x:c>
      <x:c r="AA14" s="73" t="str">
        <x:v>No evaluable</x:v>
      </x:c>
      <x:c r="AB14" s="73" t="str">
        <x:v>Sin texto completo no es posible evaluar responsablemente la pertinencia ni las interfaces.</x:v>
      </x:c>
      <x:c r="AC14" s="73"/>
      <x:c r="AD14" s="73"/>
      <x:c r="AE14" s="80" t="n">
        <x:v>46252</x:v>
      </x:c>
      <x:c r="AF14" s="73" t="str">
        <x:v>Codex (control documental)</x:v>
      </x:c>
      <x:c r="AG14" s="73" t="str">
        <x:v>ID 014 conciliado como E07 — reporte no recuperado; no contar como exclusión por contenido.</x:v>
      </x:c>
    </x:row>
    <x:row r="15" ht="56" customHeight="1">
      <x:c r="A15" s="77" t="n">
        <x:v>15</x:v>
      </x:c>
      <x:c r="B15" s="73" t="str">
        <x:v>P1—Top100 A</x:v>
      </x:c>
      <x:c r="C15" s="78" t="str">
        <x:v>A</x:v>
      </x:c>
      <x:c r="D15" s="79" t="n">
        <x:v>46</x:v>
      </x:c>
      <x:c r="E15" s="78" t="str">
        <x:v>I12; I3M</x:v>
      </x:c>
      <x:c r="F15" s="73" t="str">
        <x:v>Revisión situada en Filipinas que integra adopción, costos, habilidades, infraestructura y política.</x:v>
      </x:c>
      <x:c r="G15" s="79"/>
      <x:c r="H15" s="78" t="str">
        <x:v>2-s2.0-105012937020</x:v>
      </x:c>
      <x:c r="I15" s="78" t="str">
        <x:v>10.33687/phytopath.014.01.4530</x:v>
      </x:c>
      <x:c r="J15" s="73" t="str">
        <x:v>Frayco J.G.</x:v>
      </x:c>
      <x:c r="K15" s="79" t="n">
        <x:v>2025</x:v>
      </x:c>
      <x:c r="L15" s="73" t="str">
        <x:v>A REVIEW OF DIGITAL TECHNOLOGIES IN PLANT DISEASE AND PEST MANAGEMENT WITHIN PHILIPPINE AGRICULTURE</x:v>
      </x:c>
      <x:c r="M15" s="73" t="str">
        <x:v>International Journal of Phytopathology</x:v>
      </x:c>
      <x:c r="N15" s="73" t="str">
        <x:v>Review</x:v>
      </x:c>
      <x:c r="O15" s="73" t="str">
        <x:v>https://www.scopus.com/pages/publications/105012937020?origin=resultslist</x:v>
      </x:c>
      <x:c r="P15" s="78" t="str">
        <x:v>No recuperado</x:v>
      </x:c>
      <x:c r="Q15" s="78" t="str">
        <x:v>No evaluable</x:v>
      </x:c>
      <x:c r="R15" s="78" t="str">
        <x:v>No evaluable</x:v>
      </x:c>
      <x:c r="S15" s="78" t="str">
        <x:v>E07</x:v>
      </x:c>
      <x:c r="T15" s="73" t="str">
        <x:v>No se logró recuperar el texto completo. Se registra como E07 para control documental y PRISMA; no constituye una exclusión después de lectura a texto completo.</x:v>
      </x:c>
      <x:c r="U15" s="78" t="str">
        <x:v>No evaluable</x:v>
      </x:c>
      <x:c r="V15" s="78" t="str">
        <x:v>No disponible</x:v>
      </x:c>
      <x:c r="W15" s="78" t="str">
        <x:v>No evaluable</x:v>
      </x:c>
      <x:c r="X15" s="78" t="str">
        <x:v>No evaluable</x:v>
      </x:c>
      <x:c r="Y15" s="78" t="str">
        <x:v>No evaluable</x:v>
      </x:c>
      <x:c r="Z15" s="78" t="str">
        <x:v>No evaluable</x:v>
      </x:c>
      <x:c r="AA15" s="73" t="str">
        <x:v>No evaluable</x:v>
      </x:c>
      <x:c r="AB15" s="73" t="str">
        <x:v>Sin texto completo no es posible evaluar responsablemente la pertinencia ni las interfaces.</x:v>
      </x:c>
      <x:c r="AC15" s="73"/>
      <x:c r="AD15" s="73"/>
      <x:c r="AE15" s="80" t="n">
        <x:v>46252</x:v>
      </x:c>
      <x:c r="AF15" s="73" t="str">
        <x:v>Codex (control documental)</x:v>
      </x:c>
      <x:c r="AG15" s="73" t="str">
        <x:v>ID 015 conciliado como E07 — reporte no recuperado; no contar como exclusión por contenido.</x:v>
      </x:c>
    </x:row>
    <x:row r="16" ht="56" customHeight="1">
      <x:c r="A16" s="77" t="n">
        <x:v>16</x:v>
      </x:c>
      <x:c r="B16" s="73" t="str">
        <x:v>P1—Top100 A</x:v>
      </x:c>
      <x:c r="C16" s="78" t="str">
        <x:v>A</x:v>
      </x:c>
      <x:c r="D16" s="79" t="n">
        <x:v>53</x:v>
      </x:c>
      <x:c r="E16" s="78" t="str">
        <x:v>I3M</x:v>
      </x:c>
      <x:c r="F16" s="73" t="str">
        <x:v>Estudio experimental centrado en mantenimiento predictivo, fallos y reducción de tiempo improductivo de maquinaria agrícola.</x:v>
      </x:c>
      <x:c r="G16" s="79"/>
      <x:c r="H16" s="78" t="str">
        <x:v>2-s2.0-105044506885</x:v>
      </x:c>
      <x:c r="I16" s="78" t="str">
        <x:v>10.70917/ijcisim-2026-1938</x:v>
      </x:c>
      <x:c r="J16" s="73" t="str">
        <x:v>Patil S.; Sable N.P.; Mahalle P.N.</x:v>
      </x:c>
      <x:c r="K16" s="79" t="n">
        <x:v>2026</x:v>
      </x:c>
      <x:c r="L16" s="73" t="str">
        <x:v>ANALYZING PERFORMANCE OF SMART PREDICTIVE MAINTENANCE SYSTEMS IN INDIAN FARMING AUTOMOBILE THROUGH EXPERIMENTATION</x:v>
      </x:c>
      <x:c r="M16" s="73" t="str">
        <x:v>International Journal of Computer Information Systems and Industrial Management Applications</x:v>
      </x:c>
      <x:c r="N16" s="73" t="str">
        <x:v>Article</x:v>
      </x:c>
      <x:c r="O16" s="73" t="str">
        <x:v>https://www.scopus.com/pages/publications/105044506885?origin=resultslist</x:v>
      </x:c>
      <x:c r="P16" s="78" t="str">
        <x:v>No recuperado</x:v>
      </x:c>
      <x:c r="Q16" s="78" t="str">
        <x:v>No evaluable</x:v>
      </x:c>
      <x:c r="R16" s="78" t="str">
        <x:v>No evaluable</x:v>
      </x:c>
      <x:c r="S16" s="78" t="str">
        <x:v>E07</x:v>
      </x:c>
      <x:c r="T16" s="73" t="str">
        <x:v>No se logró recuperar el texto completo. Se registra como E07 para control documental y PRISMA; no constituye una exclusión después de lectura a texto completo.</x:v>
      </x:c>
      <x:c r="U16" s="78" t="str">
        <x:v>No evaluable</x:v>
      </x:c>
      <x:c r="V16" s="78" t="str">
        <x:v>No disponible</x:v>
      </x:c>
      <x:c r="W16" s="78" t="str">
        <x:v>No evaluable</x:v>
      </x:c>
      <x:c r="X16" s="78" t="str">
        <x:v>No evaluable</x:v>
      </x:c>
      <x:c r="Y16" s="78" t="str">
        <x:v>No evaluable</x:v>
      </x:c>
      <x:c r="Z16" s="78" t="str">
        <x:v>No evaluable</x:v>
      </x:c>
      <x:c r="AA16" s="73" t="str">
        <x:v>No evaluable</x:v>
      </x:c>
      <x:c r="AB16" s="73" t="str">
        <x:v>Sin texto completo no es posible evaluar responsablemente la pertinencia ni las interfaces.</x:v>
      </x:c>
      <x:c r="AC16" s="73"/>
      <x:c r="AD16" s="73"/>
      <x:c r="AE16" s="80" t="n">
        <x:v>46252</x:v>
      </x:c>
      <x:c r="AF16" s="73" t="str">
        <x:v>Codex (control documental)</x:v>
      </x:c>
      <x:c r="AG16" s="73" t="str">
        <x:v>ID 016 conciliado como E07 — reporte no recuperado; no contar como exclusión por contenido.</x:v>
      </x:c>
    </x:row>
    <x:row r="17" ht="56" customHeight="1">
      <x:c r="A17" s="77" t="n">
        <x:v>17</x:v>
      </x:c>
      <x:c r="B17" s="73" t="str">
        <x:v>P1—Top100 A</x:v>
      </x:c>
      <x:c r="C17" s="78" t="str">
        <x:v>A</x:v>
      </x:c>
      <x:c r="D17" s="79" t="n">
        <x:v>54</x:v>
      </x:c>
      <x:c r="E17" s="78" t="str">
        <x:v>I23; I3M</x:v>
      </x:c>
      <x:c r="F17" s="73" t="str">
        <x:v>Prototipo de riego agrícola que integra hardware, software y control y reporta desempeño bajo condiciones locales.</x:v>
      </x:c>
      <x:c r="G17" s="79" t="n">
        <x:v>1</x:v>
      </x:c>
      <x:c r="H17" s="78" t="str">
        <x:v>2-s2.0-85198950215</x:v>
      </x:c>
      <x:c r="I17" s="78" t="str">
        <x:v>10.56294/dm2024398</x:v>
      </x:c>
      <x:c r="J17" s="73" t="str">
        <x:v>Villa Quisphe M.W.; Cadena Moreano J.A.; Chancusig Chisag J.C.</x:v>
      </x:c>
      <x:c r="K17" s="79" t="n">
        <x:v>2024</x:v>
      </x:c>
      <x:c r="L17" s="73" t="str">
        <x:v>Artificial intelligence: prototype of an automated irrigation system for the cultivation of roses in Cotopaxi; [Inteligencia artificial: prototipo de sistema de riego automatizado para el cultivo de rosas en Cotopaxi]</x:v>
      </x:c>
      <x:c r="M17" s="73" t="str">
        <x:v>Data and Metadata</x:v>
      </x:c>
      <x:c r="N17" s="73" t="str">
        <x:v>Article</x:v>
      </x:c>
      <x:c r="O17" s="73" t="str">
        <x:v>https://www.scopus.com/pages/publications/85198950215?origin=resultslist</x:v>
      </x:c>
      <x:c r="P17" s="78" t="str">
        <x:v>Recuperado</x:v>
      </x:c>
      <x:c r="Q17" s="78" t="str">
        <x:v>Evaluado</x:v>
      </x:c>
      <x:c r="R17" s="78" t="str">
        <x:v>Excluir</x:v>
      </x:c>
      <x:c r="S17" s="78" t="str">
        <x:v>E02</x:v>
      </x:c>
      <x:c r="T17" s="73" t="str">
        <x:v>Comparación de prototipo con tres escenarios insuficientemente especificados; la capacitación y el mantenimiento se proponen, pero no se evalúan durante la operación.</x:v>
      </x:c>
      <x:c r="U17" s="78" t="str">
        <x:v>Parcial</x:v>
      </x:c>
      <x:c r="V17" s="78" t="str">
        <x:v>Prototipo experimental</x:v>
      </x:c>
      <x:c r="W17" s="78" t="str">
        <x:v>Parcial</x:v>
      </x:c>
      <x:c r="X17" s="78" t="str">
        <x:v>Parcial</x:v>
      </x:c>
      <x:c r="Y17" s="78" t="str">
        <x:v>No</x:v>
      </x:c>
      <x:c r="Z17" s="78" t="str">
        <x:v>No</x:v>
      </x:c>
      <x:c r="AA17" s="73" t="str">
        <x:v>Caso técnico con evidencia operacional insuficiente</x:v>
      </x:c>
      <x:c r="AB17" s="73" t="str">
        <x:v>El ahorro de agua se infiere del tiempo de riego y no de una medición operacional longitudinal.</x:v>
      </x:c>
      <x:c r="AC17" s="73" t="str">
        <x:v>Artificial intelligence prototype of an automated irrigation system for the cultivation of roses in Cotopaxi.pdf</x:v>
      </x:c>
      <x:c r="AD17" s="73" t="str"/>
      <x:c r="AE17" s="80" t="n">
        <x:v>46251.5</x:v>
      </x:c>
      <x:c r="AF17" s="73" t="str">
        <x:v>Codex (revisión asistida)</x:v>
      </x:c>
      <x:c r="AG17" s="73" t="str">
        <x:v>Lote 1 cerrado.</x:v>
      </x:c>
    </x:row>
    <x:row r="18" ht="56" customHeight="1">
      <x:c r="A18" s="77" t="n">
        <x:v>18</x:v>
      </x:c>
      <x:c r="B18" s="73" t="str">
        <x:v>P1—Top100 A</x:v>
      </x:c>
      <x:c r="C18" s="78" t="str">
        <x:v>A</x:v>
      </x:c>
      <x:c r="D18" s="79" t="n">
        <x:v>55</x:v>
      </x:c>
      <x:c r="E18" s="78" t="str">
        <x:v>I12; I23; IM1</x:v>
      </x:c>
      <x:c r="F18" s="73" t="str">
        <x:v>El DSS incorpora datos reales, recomendaciones prácticas y al operador humano dentro del lazo de adaptación.</x:v>
      </x:c>
      <x:c r="G18" s="79" t="n">
        <x:v>1</x:v>
      </x:c>
      <x:c r="H18" s="78" t="str">
        <x:v>2-s2.0-85183138176</x:v>
      </x:c>
      <x:c r="I18" s="78" t="str">
        <x:v>10.1016/j.compag.2024.108640</x:v>
      </x:c>
      <x:c r="J18" s="73" t="str">
        <x:v>Conde G.; Guzmán S.M.; Athelly A.</x:v>
      </x:c>
      <x:c r="K18" s="79" t="n">
        <x:v>2024</x:v>
      </x:c>
      <x:c r="L18" s="73" t="str">
        <x:v>Adaptive and predictive decision support system for irrigation scheduling: An approach integrating humans in the control loop</x:v>
      </x:c>
      <x:c r="M18" s="73" t="str">
        <x:v>Computers and Electronics in Agriculture</x:v>
      </x:c>
      <x:c r="N18" s="73" t="str">
        <x:v>Article</x:v>
      </x:c>
      <x:c r="O18" s="73" t="str">
        <x:v>https://www.scopus.com/pages/publications/85183138176?origin=resultslist</x:v>
      </x:c>
      <x:c r="P18" s="78" t="str">
        <x:v>Recuperado</x:v>
      </x:c>
      <x:c r="Q18" s="78" t="str">
        <x:v>Evaluado</x:v>
      </x:c>
      <x:c r="R18" s="78" t="str">
        <x:v>Incluir</x:v>
      </x:c>
      <x:c r="S18" s="78" t="str"/>
      <x:c r="T18" s="73" t="str">
        <x:v>Vincula condiciones reales de campo, recomendaciones de riego y desempeño del DSS; aporta un caso límite útil para estudiar la brecha validación–despliegue.</x:v>
      </x:c>
      <x:c r="U18" s="78" t="str">
        <x:v>Parcial</x:v>
      </x:c>
      <x:c r="V18" s="78" t="str">
        <x:v>Estudio técnico con datos de campo y simulación</x:v>
      </x:c>
      <x:c r="W18" s="78" t="str">
        <x:v>Sí</x:v>
      </x:c>
      <x:c r="X18" s="78" t="str">
        <x:v>Sí</x:v>
      </x:c>
      <x:c r="Y18" s="78" t="str">
        <x:v>No</x:v>
      </x:c>
      <x:c r="Z18" s="78" t="str">
        <x:v>No</x:v>
      </x:c>
      <x:c r="AA18" s="73" t="str">
        <x:v>Caso límite de la brecha validación–despliegue</x:v>
      </x:c>
      <x:c r="AB18" s="73" t="str">
        <x:v>El ahorro de agua es contrafactual/modelado y el DSS aún no se había desplegado con usuarios finales.</x:v>
      </x:c>
      <x:c r="AC18" s="73" t="str">
        <x:v>Adaptive and predictive decision support system for irrigation scheduling.pdf</x:v>
      </x:c>
      <x:c r="AD18" s="73" t="str">
        <x:v>S2_SCOPUS_018_Adaptive_Predictive_DSS_Irrigation.pdf</x:v>
      </x:c>
      <x:c r="AE18" s="80" t="n">
        <x:v>46251.5</x:v>
      </x:c>
      <x:c r="AF18" s="73" t="str">
        <x:v>Codex (revisión asistida)</x:v>
      </x:c>
      <x:c r="AG18" s="73" t="str">
        <x:v>Lote 1 cerrado.</x:v>
      </x:c>
    </x:row>
    <x:row r="19" ht="56" customHeight="1">
      <x:c r="A19" s="77" t="n">
        <x:v>19</x:v>
      </x:c>
      <x:c r="B19" s="73" t="str">
        <x:v>P1—Top100 A</x:v>
      </x:c>
      <x:c r="C19" s="78" t="str">
        <x:v>A</x:v>
      </x:c>
      <x:c r="D19" s="79" t="n">
        <x:v>66</x:v>
      </x:c>
      <x:c r="E19" s="78" t="str">
        <x:v>I23; I3M</x:v>
      </x:c>
      <x:c r="F19" s="73" t="str">
        <x:v>Arquitectura SSA propuesta para superar fragmentación, aislamiento e incompatibilidad de sistemas agrícolas.</x:v>
      </x:c>
      <x:c r="G19" s="79" t="n">
        <x:v>4</x:v>
      </x:c>
      <x:c r="H19" s="78" t="str">
        <x:v>2-s2.0-85066751039</x:v>
      </x:c>
      <x:c r="I19" s="78" t="str">
        <x:v>10.14569/ijacsa.2019.0100513</x:v>
      </x:c>
      <x:c r="J19" s="73" t="str">
        <x:v>Alreshidi E.</x:v>
      </x:c>
      <x:c r="K19" s="79" t="n">
        <x:v>2019</x:v>
      </x:c>
      <x:c r="L19" s="73" t="str">
        <x:v>Smart Sustainable Agriculture (SSA) solution underpinned by Internet of Things (IoT) and Artificial Intelligence (AI)</x:v>
      </x:c>
      <x:c r="M19" s="73" t="str">
        <x:v>International Journal of Advanced Computer Science and Applications</x:v>
      </x:c>
      <x:c r="N19" s="73" t="str">
        <x:v>Article</x:v>
      </x:c>
      <x:c r="O19" s="73" t="str">
        <x:v>https://www.scopus.com/pages/publications/85066751039?origin=resultslist</x:v>
      </x:c>
      <x:c r="P19" s="78" t="str">
        <x:v>Recuperado</x:v>
      </x:c>
      <x:c r="Q19" s="78" t="str">
        <x:v>Evaluado</x:v>
      </x:c>
      <x:c r="R19" s="78" t="str">
        <x:v>Excluir</x:v>
      </x:c>
      <x:c r="S19" s="78" t="str">
        <x:v>E02</x:v>
      </x:c>
      <x:c r="T19" s="73" t="str">
        <x:v>Propone una arquitectura holística IoT/AI para agricultura sostenible a partir de una revisión narrativa e entrevistas informales, pero la plataforma no fue implementada ni evaluada; los casos reales se dejan explícitamente como trabajo futuro.</x:v>
      </x:c>
      <x:c r="U19" s="78" t="str">
        <x:v>No</x:v>
      </x:c>
      <x:c r="V19" s="78" t="str">
        <x:v>Revisión narrativa, entrevistas informales y arquitectura conceptual</x:v>
      </x:c>
      <x:c r="W19" s="78" t="str">
        <x:v>Parcial</x:v>
      </x:c>
      <x:c r="X19" s="78" t="str">
        <x:v>No</x:v>
      </x:c>
      <x:c r="Y19" s="78" t="str">
        <x:v>Parcial</x:v>
      </x:c>
      <x:c r="Z19" s="78" t="str">
        <x:v>No</x:v>
      </x:c>
      <x:c r="AA19" s="73" t="str">
        <x:v>Propuesta conceptual sobre integración, interoperabilidad y redundancia, sin evidencia verificable de despliegue.</x:v>
      </x:c>
      <x:c r="AB19" s="73" t="str">
        <x:v>No describe muestra ni protocolo de entrevistas, no construye un prototipo y no presenta pruebas de capacidad, continuidad, mantenimiento o uso en una explotación.</x:v>
      </x:c>
      <x:c r="AC19" s="73" t="str">
        <x:v>Smart Sustainable Agriculture (SSA) Solution Underpinned by Internet of Things (IoT) and Artificial Intelligence (AI).pdf</x:v>
      </x:c>
      <x:c r="AD19" s="73" t="str"/>
      <x:c r="AE19" s="80" t="n">
        <x:v>46251.5</x:v>
      </x:c>
      <x:c r="AF19" s="73" t="str">
        <x:v>Codex (revisión asistida)</x:v>
      </x:c>
      <x:c r="AG19" s="73" t="str">
        <x:v>Lote 4: decisión cerrada.</x:v>
      </x:c>
    </x:row>
    <x:row r="20" ht="56" customHeight="1">
      <x:c r="A20" s="77" t="n">
        <x:v>20</x:v>
      </x:c>
      <x:c r="B20" s="73" t="str">
        <x:v>P1—Top100 A</x:v>
      </x:c>
      <x:c r="C20" s="78" t="str">
        <x:v>A</x:v>
      </x:c>
      <x:c r="D20" s="79" t="n">
        <x:v>68</x:v>
      </x:c>
      <x:c r="E20" s="78" t="str">
        <x:v>I23; I3M</x:v>
      </x:c>
      <x:c r="F20" s="73" t="str">
        <x:v>Revisión sistemática centrada en conectividad rural, interoperabilidad, seguridad y escalabilidad de IoT agrícola.</x:v>
      </x:c>
      <x:c r="G20" s="79" t="n">
        <x:v>4</x:v>
      </x:c>
      <x:c r="H20" s="78" t="str">
        <x:v>2-s2.0-105000199322</x:v>
      </x:c>
      <x:c r="I20" s="78" t="str">
        <x:v>10.1007/s43069-025-00434-z</x:v>
      </x:c>
      <x:c r="J20" s="73" t="str">
        <x:v>Prashanth J.S.; Krishna G.B.; Prasad A.V.K.; Rao P.R.</x:v>
      </x:c>
      <x:c r="K20" s="79" t="n">
        <x:v>2025</x:v>
      </x:c>
      <x:c r="L20" s="73" t="str">
        <x:v>Smart Farming Revolution: A Cutting-Edge Review of Deep Learning and IoT Innovations in Agriculture</x:v>
      </x:c>
      <x:c r="M20" s="73" t="str">
        <x:v>Operations Research Forum</x:v>
      </x:c>
      <x:c r="N20" s="73" t="str">
        <x:v>Review</x:v>
      </x:c>
      <x:c r="O20" s="73" t="str">
        <x:v>https://www.scopus.com/pages/publications/105000199322?origin=resultslist</x:v>
      </x:c>
      <x:c r="P20" s="78" t="str">
        <x:v>No recuperado</x:v>
      </x:c>
      <x:c r="Q20" s="78" t="str">
        <x:v>No evaluable</x:v>
      </x:c>
      <x:c r="R20" s="78"/>
      <x:c r="S20" s="78" t="str">
        <x:v>E07</x:v>
      </x:c>
      <x:c r="T20" s="73" t="str">
        <x:v>No fue posible recuperar el texto completo correspondiente al DOI 10.1007/s43069-025-00434-z; por tanto, el registro no pudo someterse a evaluación de elegibilidad a texto completo.</x:v>
      </x:c>
      <x:c r="U20" s="78"/>
      <x:c r="V20" s="78" t="str">
        <x:v>Reporte no recuperado</x:v>
      </x:c>
      <x:c r="W20" s="78" t="str">
        <x:v>No evaluable</x:v>
      </x:c>
      <x:c r="X20" s="78" t="str">
        <x:v>No evaluable</x:v>
      </x:c>
      <x:c r="Y20" s="78" t="str">
        <x:v>No evaluable</x:v>
      </x:c>
      <x:c r="Z20" s="78" t="str">
        <x:v>No evaluable</x:v>
      </x:c>
      <x:c r="AA20" s="73" t="str">
        <x:v>No evaluable sin texto completo.</x:v>
      </x:c>
      <x:c r="AB20" s="73" t="str">
        <x:v>El texto completo del estudio objetivo no pudo recuperarse.</x:v>
      </x:c>
      <x:c r="AC20" s="73"/>
      <x:c r="AD20" s="73"/>
      <x:c r="AE20" s="80"/>
      <x:c r="AF20" s="73"/>
      <x:c r="AG20" s="73" t="str">
        <x:v>Estado final de recuperación: no recuperado (E07). El archivo recibido previamente correspondía al DOI 10.33687/phytopath.014.01.4530 y no se utilizó para decidir la elegibilidad del ID 020.</x:v>
      </x:c>
    </x:row>
    <x:row r="21" ht="56" customHeight="1">
      <x:c r="A21" s="77" t="n">
        <x:v>21</x:v>
      </x:c>
      <x:c r="B21" s="73" t="str">
        <x:v>P1—Top100 A</x:v>
      </x:c>
      <x:c r="C21" s="78" t="str">
        <x:v>A</x:v>
      </x:c>
      <x:c r="D21" s="79" t="n">
        <x:v>73</x:v>
      </x:c>
      <x:c r="E21" s="78" t="str">
        <x:v>I12; I3M</x:v>
      </x:c>
      <x:c r="F21" s="73" t="str">
        <x:v>Caso de acuicultura diseñado ante carencias de habilidades, monitoreo y mantenimiento del entorno productivo.</x:v>
      </x:c>
      <x:c r="G21" s="79"/>
      <x:c r="H21" s="78" t="str">
        <x:v>2-s2.0-85134318023</x:v>
      </x:c>
      <x:c r="I21" s="78" t="str">
        <x:v>10.1109/JSEN.2022.3188639</x:v>
      </x:c>
      <x:c r="J21" s="73" t="str">
        <x:v>Singh M.; Sahoo K.S.; Nayyar A.</x:v>
      </x:c>
      <x:c r="K21" s="79" t="n">
        <x:v>2022</x:v>
      </x:c>
      <x:c r="L21" s="73" t="str">
        <x:v>Sustainable IoT Solution for Freshwater Aquaculture Management</x:v>
      </x:c>
      <x:c r="M21" s="73" t="str">
        <x:v>IEEE Sensors Journal</x:v>
      </x:c>
      <x:c r="N21" s="73" t="str">
        <x:v>Article</x:v>
      </x:c>
      <x:c r="O21" s="73" t="str">
        <x:v>https://www.scopus.com/pages/publications/85134318023?origin=resultslist</x:v>
      </x:c>
      <x:c r="P21" s="78" t="str">
        <x:v>No recuperado</x:v>
      </x:c>
      <x:c r="Q21" s="78" t="str">
        <x:v>No evaluable</x:v>
      </x:c>
      <x:c r="R21" s="78" t="str">
        <x:v>No evaluable</x:v>
      </x:c>
      <x:c r="S21" s="78" t="str">
        <x:v>E07</x:v>
      </x:c>
      <x:c r="T21" s="73" t="str">
        <x:v>No se logró recuperar el texto completo. Se registra como E07 para control documental y PRISMA; no constituye una exclusión después de lectura a texto completo.</x:v>
      </x:c>
      <x:c r="U21" s="78" t="str">
        <x:v>No evaluable</x:v>
      </x:c>
      <x:c r="V21" s="78" t="str">
        <x:v>No disponible</x:v>
      </x:c>
      <x:c r="W21" s="78" t="str">
        <x:v>No evaluable</x:v>
      </x:c>
      <x:c r="X21" s="78" t="str">
        <x:v>No evaluable</x:v>
      </x:c>
      <x:c r="Y21" s="78" t="str">
        <x:v>No evaluable</x:v>
      </x:c>
      <x:c r="Z21" s="78" t="str">
        <x:v>No evaluable</x:v>
      </x:c>
      <x:c r="AA21" s="73" t="str">
        <x:v>No evaluable</x:v>
      </x:c>
      <x:c r="AB21" s="73" t="str">
        <x:v>Sin texto completo no es posible evaluar responsablemente la pertinencia ni las interfaces.</x:v>
      </x:c>
      <x:c r="AC21" s="73"/>
      <x:c r="AD21" s="73"/>
      <x:c r="AE21" s="80" t="n">
        <x:v>46252</x:v>
      </x:c>
      <x:c r="AF21" s="73" t="str">
        <x:v>Codex (control documental)</x:v>
      </x:c>
      <x:c r="AG21" s="73" t="str">
        <x:v>ID 021 conciliado como E07 — reporte no recuperado; no contar como exclusión por contenido.</x:v>
      </x:c>
    </x:row>
    <x:row r="22" ht="56" customHeight="1">
      <x:c r="A22" s="77" t="n">
        <x:v>22</x:v>
      </x:c>
      <x:c r="B22" s="73" t="str">
        <x:v>P1—Top100 A</x:v>
      </x:c>
      <x:c r="C22" s="78" t="str">
        <x:v>A</x:v>
      </x:c>
      <x:c r="D22" s="79" t="n">
        <x:v>74</x:v>
      </x:c>
      <x:c r="E22" s="78" t="str">
        <x:v>I12; I3M</x:v>
      </x:c>
      <x:c r="F22" s="73" t="str">
        <x:v>Revisión y consulta experta centradas en impulsores y barreras para implementar Agricultura 4.0.</x:v>
      </x:c>
      <x:c r="G22" s="79" t="n">
        <x:v>3</x:v>
      </x:c>
      <x:c r="H22" s="78" t="str">
        <x:v>2-s2.0-85188999208</x:v>
      </x:c>
      <x:c r="I22" s="78" t="str">
        <x:v>10.3390/su16062425</x:v>
      </x:c>
      <x:c r="J22" s="73" t="str">
        <x:v>Fragomeli R.; Annunziata A.; Punzo G.</x:v>
      </x:c>
      <x:c r="K22" s="79" t="n">
        <x:v>2024</x:v>
      </x:c>
      <x:c r="L22" s="73" t="str">
        <x:v>Promoting the Transition towards Agriculture 4.0: A Systematic Literature Review on Drivers and Barriers</x:v>
      </x:c>
      <x:c r="M22" s="73" t="str">
        <x:v>Sustainability (Switzerland) </x:v>
      </x:c>
      <x:c r="N22" s="73" t="str">
        <x:v>Review</x:v>
      </x:c>
      <x:c r="O22" s="73" t="str">
        <x:v>https://www.scopus.com/pages/publications/85188999208?origin=resultslist</x:v>
      </x:c>
      <x:c r="P22" s="78" t="str">
        <x:v>Recuperado</x:v>
      </x:c>
      <x:c r="Q22" s="78" t="str">
        <x:v>Evaluado</x:v>
      </x:c>
      <x:c r="R22" s="78" t="str">
        <x:v>Incluir</x:v>
      </x:c>
      <x:c r="S22" s="78" t="str"/>
      <x:c r="T22" s="73" t="str">
        <x:v>La revisión PRISMA de 42 estudios vincula las condiciones de la explotación y del usuario con compatibilidad, infraestructura, conectividad, costos iniciales y de mantenimiento, capacitación y soporte del proveedor, factores pertinentes para contextualización y soportabilidad.</x:v>
      </x:c>
      <x:c r="U22" s="78" t="str">
        <x:v>No aplica (revisión)</x:v>
      </x:c>
      <x:c r="V22" s="78" t="str">
        <x:v>Revisión sistemática PRISMA y análisis de redes</x:v>
      </x:c>
      <x:c r="W22" s="78" t="str">
        <x:v>Sí</x:v>
      </x:c>
      <x:c r="X22" s="78" t="str">
        <x:v>Parcial</x:v>
      </x:c>
      <x:c r="Y22" s="78" t="str">
        <x:v>Sí</x:v>
      </x:c>
      <x:c r="Z22" s="78" t="str">
        <x:v>No</x:v>
      </x:c>
      <x:c r="AA22" s="73" t="str">
        <x:v>Evidencia secundaria sobre condiciones contextuales y recursos institucionales, técnicos y económicos que habilitan o bloquean Agricultura 4.0.</x:v>
      </x:c>
      <x:c r="AB22" s="73" t="str">
        <x:v>Se limita a Scopus, publicaciones en inglés y estudios de adopción; no realiza una evaluación crítica de calidad ni aporta evidencia directa de continuidad operacional o aprendizaje en despliegues.</x:v>
      </x:c>
      <x:c r="AC22" s="73" t="str">
        <x:v>Promoting the Transition towards Agriculture 4.0 A Systematic Literature Review on Drivers and Barriers.pdf</x:v>
      </x:c>
      <x:c r="AD22" s="73" t="str">
        <x:v>S2_SCOPUS_022_Agriculture_4_0_Drivers_Barriers_Review.pdf</x:v>
      </x:c>
      <x:c r="AE22" s="80" t="n">
        <x:v>46251.5</x:v>
      </x:c>
      <x:c r="AF22" s="73" t="str">
        <x:v>Codex (revisión asistida)</x:v>
      </x:c>
      <x:c r="AG22" s="73" t="str">
        <x:v>Lote 3 cerrado.</x:v>
      </x:c>
    </x:row>
    <x:row r="23" ht="56" customHeight="1">
      <x:c r="A23" s="77" t="n">
        <x:v>23</x:v>
      </x:c>
      <x:c r="B23" s="73" t="str">
        <x:v>P1—Top100 A</x:v>
      </x:c>
      <x:c r="C23" s="78" t="str">
        <x:v>A</x:v>
      </x:c>
      <x:c r="D23" s="79" t="n">
        <x:v>77</x:v>
      </x:c>
      <x:c r="E23" s="78" t="str">
        <x:v>I3M</x:v>
      </x:c>
      <x:c r="F23" s="73" t="str">
        <x:v>Aborda explícitamente recuperación ante fallos de sensores y calidad de datos en riego inteligente.</x:v>
      </x:c>
      <x:c r="G23" s="79" t="n">
        <x:v>2</x:v>
      </x:c>
      <x:c r="H23" s="78" t="str">
        <x:v>2-s2.0-105037979182</x:v>
      </x:c>
      <x:c r="I23" s="78" t="str">
        <x:v>10.48084/etasr.17776</x:v>
      </x:c>
      <x:c r="J23" s="73" t="str">
        <x:v>Walid M.; Ashar M.; Herwanto H.W.</x:v>
      </x:c>
      <x:c r="K23" s="79" t="n">
        <x:v>2026</x:v>
      </x:c>
      <x:c r="L23" s="73" t="str">
        <x:v>Evaluating the Data Imputation Impact on Gradient Boosting Model Predictive Performance in Sensor Failure Recovery for Smart Irrigation Systems</x:v>
      </x:c>
      <x:c r="M23" s="73" t="str">
        <x:v>Engineering, Technology and Applied Science Research</x:v>
      </x:c>
      <x:c r="N23" s="73" t="str">
        <x:v>Article</x:v>
      </x:c>
      <x:c r="O23" s="73" t="str">
        <x:v>https://www.scopus.com/pages/publications/105037979182?origin=resultslist</x:v>
      </x:c>
      <x:c r="P23" s="78" t="str">
        <x:v>Recuperado</x:v>
      </x:c>
      <x:c r="Q23" s="78" t="str">
        <x:v>Evaluado</x:v>
      </x:c>
      <x:c r="R23" s="78" t="str">
        <x:v>Excluir</x:v>
      </x:c>
      <x:c r="S23" s="78" t="str">
        <x:v>E02</x:v>
      </x:c>
      <x:c r="T23" s="73" t="str">
        <x:v>La pérdida de datos se introduce artificialmente en un conjunto secundario y se comparan métodos de imputación y predicción fuera de línea; no se observa una falla real de sensores, recuperación operacional ni continuidad del sistema.</x:v>
      </x:c>
      <x:c r="U23" s="78" t="str">
        <x:v>No</x:v>
      </x:c>
      <x:c r="V23" s="78" t="str">
        <x:v>Experimento computacional con datos secundarios</x:v>
      </x:c>
      <x:c r="W23" s="78" t="str">
        <x:v>No</x:v>
      </x:c>
      <x:c r="X23" s="78" t="str">
        <x:v>Parcial</x:v>
      </x:c>
      <x:c r="Y23" s="78" t="str">
        <x:v>No</x:v>
      </x:c>
      <x:c r="Z23" s="78" t="str">
        <x:v>No</x:v>
      </x:c>
      <x:c r="AA23" s="73" t="str">
        <x:v>Evidencia técnica de recuperación de datos, insuficiente para el corpus de despliegue.</x:v>
      </x:c>
      <x:c r="AB23" s="73" t="str">
        <x:v>Validación fuera de línea con faltantes sintéticos y sin operación, mantenimiento o recuperación en campo.</x:v>
      </x:c>
      <x:c r="AC23" s="73" t="str">
        <x:v>Evaluating the Data Imputation Impact on Gradient Boosting Model Predictive Performance in Sensor Failure Recovery for Smart Irrigation Systems.pdf</x:v>
      </x:c>
      <x:c r="AD23" s="73" t="str"/>
      <x:c r="AE23" s="80" t="n">
        <x:v>46251.5</x:v>
      </x:c>
      <x:c r="AF23" s="73" t="str">
        <x:v>Codex (revisión asistida)</x:v>
      </x:c>
      <x:c r="AG23" s="73" t="str">
        <x:v>Lote 2 cerrado.</x:v>
      </x:c>
    </x:row>
    <x:row r="24" ht="56" customHeight="1">
      <x:c r="A24" s="77" t="n">
        <x:v>24</x:v>
      </x:c>
      <x:c r="B24" s="73" t="str">
        <x:v>P1—Top100 A</x:v>
      </x:c>
      <x:c r="C24" s="78" t="str">
        <x:v>A</x:v>
      </x:c>
      <x:c r="D24" s="79" t="n">
        <x:v>80</x:v>
      </x:c>
      <x:c r="E24" s="78" t="str">
        <x:v>I23; I3M</x:v>
      </x:c>
      <x:c r="F24" s="73" t="str">
        <x:v>Revisión crítica de efectividad, escalabilidad y limitaciones de automatización hortícola en condiciones de campo.</x:v>
      </x:c>
      <x:c r="G24" s="79" t="n">
        <x:v>4</x:v>
      </x:c>
      <x:c r="H24" s="78" t="str">
        <x:v>2-s2.0-105005845783</x:v>
      </x:c>
      <x:c r="I24" s="78" t="str">
        <x:v>10.1016/j.atech.2025.100918</x:v>
      </x:c>
      <x:c r="J24" s="73" t="str">
        <x:v>Tsoulias N.; Paraforos D.S.</x:v>
      </x:c>
      <x:c r="K24" s="79" t="n">
        <x:v>2025</x:v>
      </x:c>
      <x:c r="L24" s="73" t="str">
        <x:v>Real-time applications in perennial trees and vegetables – A review</x:v>
      </x:c>
      <x:c r="M24" s="73" t="str">
        <x:v>Smart Agricultural Technology</x:v>
      </x:c>
      <x:c r="N24" s="73" t="str">
        <x:v>Review</x:v>
      </x:c>
      <x:c r="O24" s="73" t="str">
        <x:v>https://www.scopus.com/pages/publications/105005845783?origin=resultslist</x:v>
      </x:c>
      <x:c r="P24" s="78" t="str">
        <x:v>Recuperado</x:v>
      </x:c>
      <x:c r="Q24" s="78" t="str">
        <x:v>Evaluado</x:v>
      </x:c>
      <x:c r="R24" s="78" t="str">
        <x:v>Incluir</x:v>
      </x:c>
      <x:c r="S24" s="78" t="str"/>
      <x:c r="T24" s="73" t="str">
        <x:v>Sintetiza estudios experimentales reproducibles de aplicaciones en tiempo real y relaciona condiciones de cultivo y microclima con desempeño, respuesta, ahorro de insumos, precisión, comunicación e interoperabilidad; identifica costos, escalabilidad y ausencia de evaluaciones prolongadas como barreras de adopción.</x:v>
      </x:c>
      <x:c r="U24" s="78" t="str">
        <x:v>No aplica (revisión)</x:v>
      </x:c>
      <x:c r="V24" s="78" t="str">
        <x:v>Revisión sistemática estructurada de aplicaciones en tiempo real</x:v>
      </x:c>
      <x:c r="W24" s="78" t="str">
        <x:v>Sí</x:v>
      </x:c>
      <x:c r="X24" s="78" t="str">
        <x:v>Sí</x:v>
      </x:c>
      <x:c r="Y24" s="78" t="str">
        <x:v>Parcial</x:v>
      </x:c>
      <x:c r="Z24" s="78" t="str">
        <x:v>No</x:v>
      </x:c>
      <x:c r="AA24" s="73" t="str">
        <x:v>Evidencia secundaria comparativa sobre capacidad técnica en campo, adaptación contextual e interoperabilidad de automatización hortícola en tiempo real.</x:v>
      </x:c>
      <x:c r="AB24" s="73" t="str">
        <x:v>Excluye estudios comerciales, no informa una evaluación formal de calidad o riesgo de sesgo y reúne aplicaciones muy heterogéneas; faltan evaluaciones longitudinales de costos, soporte y continuidad.</x:v>
      </x:c>
      <x:c r="AC24" s="73" t="str">
        <x:v>Real-time applications in perennial trees and vegetables – A review.pdf</x:v>
      </x:c>
      <x:c r="AD24" s="73" t="str">
        <x:v>S2_SCOPUS_024_Real_Time_Applications_Perennial_Vegetables_Review.pdf</x:v>
      </x:c>
      <x:c r="AE24" s="80" t="n">
        <x:v>46251.5</x:v>
      </x:c>
      <x:c r="AF24" s="73" t="str">
        <x:v>Codex (revisión asistida)</x:v>
      </x:c>
      <x:c r="AG24" s="73" t="str">
        <x:v>Lote 4: decisión cerrada.</x:v>
      </x:c>
    </x:row>
    <x:row r="25" ht="56" customHeight="1">
      <x:c r="A25" s="77" t="n">
        <x:v>25</x:v>
      </x:c>
      <x:c r="B25" s="73" t="str">
        <x:v>P1—Top100 A</x:v>
      </x:c>
      <x:c r="C25" s="78" t="str">
        <x:v>A</x:v>
      </x:c>
      <x:c r="D25" s="79" t="n">
        <x:v>85</x:v>
      </x:c>
      <x:c r="E25" s="78" t="str">
        <x:v>I3M</x:v>
      </x:c>
      <x:c r="F25" s="73" t="str">
        <x:v>Despliegue 5G–MEC que incorpora mantenimiento físico, ciberseguridad, estabilidad, energía y costos.</x:v>
      </x:c>
      <x:c r="G25" s="79"/>
      <x:c r="H25" s="78" t="str">
        <x:v>2-s2.0-105010220399</x:v>
      </x:c>
      <x:c r="I25" s="78" t="str">
        <x:v>10.1109/TCE.2025.3587078</x:v>
      </x:c>
      <x:c r="J25" s="73" t="str">
        <x:v>Zhang S.-Y.; Lin C.-C.; Peng Y.-C.; Deng D.-J.</x:v>
      </x:c>
      <x:c r="K25" s="79" t="n">
        <x:v>2025</x:v>
      </x:c>
      <x:c r="L25" s="73" t="str">
        <x:v>Deployment of 5G MEC Systems With Safety Maintenance and Cybersecurity in Smart Agricultural Parks</x:v>
      </x:c>
      <x:c r="M25" s="73" t="str">
        <x:v>IEEE Transactions on Consumer Electronics</x:v>
      </x:c>
      <x:c r="N25" s="73" t="str">
        <x:v>Article</x:v>
      </x:c>
      <x:c r="O25" s="73" t="str">
        <x:v>https://www.scopus.com/pages/publications/105010220399?origin=resultslist</x:v>
      </x:c>
      <x:c r="P25" s="78" t="str">
        <x:v>No recuperado</x:v>
      </x:c>
      <x:c r="Q25" s="78" t="str">
        <x:v>No evaluable</x:v>
      </x:c>
      <x:c r="R25" s="78" t="str">
        <x:v>No evaluable</x:v>
      </x:c>
      <x:c r="S25" s="78" t="str">
        <x:v>E07</x:v>
      </x:c>
      <x:c r="T25" s="73" t="str">
        <x:v>No se logró recuperar el texto completo. Se registra como E07 para control documental y PRISMA; no constituye una exclusión después de lectura a texto completo.</x:v>
      </x:c>
      <x:c r="U25" s="78" t="str">
        <x:v>No evaluable</x:v>
      </x:c>
      <x:c r="V25" s="78" t="str">
        <x:v>No disponible</x:v>
      </x:c>
      <x:c r="W25" s="78" t="str">
        <x:v>No evaluable</x:v>
      </x:c>
      <x:c r="X25" s="78" t="str">
        <x:v>No evaluable</x:v>
      </x:c>
      <x:c r="Y25" s="78" t="str">
        <x:v>No evaluable</x:v>
      </x:c>
      <x:c r="Z25" s="78" t="str">
        <x:v>No evaluable</x:v>
      </x:c>
      <x:c r="AA25" s="73" t="str">
        <x:v>No evaluable</x:v>
      </x:c>
      <x:c r="AB25" s="73" t="str">
        <x:v>Sin texto completo no es posible evaluar responsablemente la pertinencia ni las interfaces.</x:v>
      </x:c>
      <x:c r="AC25" s="73"/>
      <x:c r="AD25" s="73"/>
      <x:c r="AE25" s="80" t="n">
        <x:v>46252</x:v>
      </x:c>
      <x:c r="AF25" s="73" t="str">
        <x:v>Codex (control documental)</x:v>
      </x:c>
      <x:c r="AG25" s="73" t="str">
        <x:v>ID 025 conciliado como E07 — reporte no recuperado; no contar como exclusión por contenido.</x:v>
      </x:c>
    </x:row>
    <x:row r="26" ht="56" customHeight="1">
      <x:c r="A26" s="77" t="n">
        <x:v>26</x:v>
      </x:c>
      <x:c r="B26" s="73" t="str">
        <x:v>P1—Top100 A</x:v>
      </x:c>
      <x:c r="C26" s="78" t="str">
        <x:v>A</x:v>
      </x:c>
      <x:c r="D26" s="79" t="n">
        <x:v>87</x:v>
      </x:c>
      <x:c r="E26" s="78" t="str">
        <x:v>I12; I23; IM1</x:v>
      </x:c>
      <x:c r="F26" s="73" t="str">
        <x:v>Caso de solución digital africana basado en experimentación en finca, cocreación, aprendizaje y alineación de actores.</x:v>
      </x:c>
      <x:c r="G26" s="79" t="n">
        <x:v>1</x:v>
      </x:c>
      <x:c r="H26" s="78" t="str">
        <x:v>2-s2.0-85159943542</x:v>
      </x:c>
      <x:c r="I26" s="78" t="str">
        <x:v>10.1007/s13593-023-00888-7</x:v>
      </x:c>
      <x:c r="J26" s="73" t="str">
        <x:v>Alexandre C.; Tresch L.; Sarron J.; Lavarenne J.; Bringer G.; Chaham H.R.; Bendahou H.; Carmeni S.; Borianne P.; Koffi J.-M.; Faye E.</x:v>
      </x:c>
      <x:c r="K26" s="79" t="n">
        <x:v>2023</x:v>
      </x:c>
      <x:c r="L26" s="73" t="str">
        <x:v>Creating shared value(s) from On-Farm Experimentation: ten key lessons learned from the development of the SoYield® digital solution in Africa</x:v>
      </x:c>
      <x:c r="M26" s="73" t="str">
        <x:v>Agronomy for Sustainable Development</x:v>
      </x:c>
      <x:c r="N26" s="73" t="str">
        <x:v>Article</x:v>
      </x:c>
      <x:c r="O26" s="73" t="str">
        <x:v>https://www.scopus.com/pages/publications/85159943542?origin=resultslist</x:v>
      </x:c>
      <x:c r="P26" s="78" t="str">
        <x:v>Recuperado</x:v>
      </x:c>
      <x:c r="Q26" s="78" t="str">
        <x:v>Evaluado</x:v>
      </x:c>
      <x:c r="R26" s="78" t="str">
        <x:v>Incluir</x:v>
      </x:c>
      <x:c r="S26" s="78" t="str"/>
      <x:c r="T26" s="73" t="str">
        <x:v>Documenta cocreación, experimentación en finca, iteración y aprendizaje alrededor de una solución digital agrícola en varios contextos africanos.</x:v>
      </x:c>
      <x:c r="U26" s="78" t="str">
        <x:v>Sí</x:v>
      </x:c>
      <x:c r="V26" s="78" t="str">
        <x:v>Caso empírico longitudinal e investigación en finca</x:v>
      </x:c>
      <x:c r="W26" s="78" t="str">
        <x:v>Sí</x:v>
      </x:c>
      <x:c r="X26" s="78" t="str">
        <x:v>Sí</x:v>
      </x:c>
      <x:c r="Y26" s="78" t="str">
        <x:v>Sí</x:v>
      </x:c>
      <x:c r="Z26" s="78" t="str">
        <x:v>Sí</x:v>
      </x:c>
      <x:c r="AA26" s="73" t="str">
        <x:v>Caso empírico fuerte de diseño, despliegue y aprendizaje</x:v>
      </x:c>
      <x:c r="AB26" s="73" t="str">
        <x:v>Despliegue temprano y autoevaluación reflexiva; los impactos de largo plazo todavía no estaban establecidos.</x:v>
      </x:c>
      <x:c r="AC26" s="73" t="str">
        <x:v>Creating shared value(s) from On-Farm Experimentation ten key lessons learned from the development of the SoYield digital solution in Africa.pdf</x:v>
      </x:c>
      <x:c r="AD26" s="73" t="str">
        <x:v>S2_SCOPUS_026_SoYield_On_Farm_Experimentation.pdf</x:v>
      </x:c>
      <x:c r="AE26" s="80" t="n">
        <x:v>46251.5</x:v>
      </x:c>
      <x:c r="AF26" s="73" t="str">
        <x:v>Codex (revisión asistida)</x:v>
      </x:c>
      <x:c r="AG26" s="73" t="str">
        <x:v>Lote 1 cerrado.</x:v>
      </x:c>
    </x:row>
    <x:row r="27" ht="56" customHeight="1">
      <x:c r="A27" s="77" t="n">
        <x:v>27</x:v>
      </x:c>
      <x:c r="B27" s="73" t="str">
        <x:v>P1—Top100 A</x:v>
      </x:c>
      <x:c r="C27" s="78" t="str">
        <x:v>A</x:v>
      </x:c>
      <x:c r="D27" s="79" t="n">
        <x:v>90</x:v>
      </x:c>
      <x:c r="E27" s="78" t="str">
        <x:v>I12; I3M; IM1</x:v>
      </x:c>
      <x:c r="F27" s="73" t="str">
        <x:v>Estudia aceptación y continuidad de sistemas informativos agrícolas en pequeños productores rurales.</x:v>
      </x:c>
      <x:c r="G27" s="79" t="n">
        <x:v>1</x:v>
      </x:c>
      <x:c r="H27" s="78" t="str">
        <x:v>2-s2.0-85124809059</x:v>
      </x:c>
      <x:c r="I27" s="78" t="str">
        <x:v>10.1016/j.techsoc.2022.101934</x:v>
      </x:c>
      <x:c r="J27" s="73" t="str">
        <x:v>Afful-Dadzie E.; Lartey S.O.; Clottey D.N.K.</x:v>
      </x:c>
      <x:c r="K27" s="79" t="n">
        <x:v>2022</x:v>
      </x:c>
      <x:c r="L27" s="73" t="str">
        <x:v>Agricultural information systems acceptance and continuance in rural communities: A consumption values perspective</x:v>
      </x:c>
      <x:c r="M27" s="73" t="str">
        <x:v>Technology in Society</x:v>
      </x:c>
      <x:c r="N27" s="73" t="str">
        <x:v>Article</x:v>
      </x:c>
      <x:c r="O27" s="73" t="str">
        <x:v>https://www.scopus.com/pages/publications/85124809059?origin=resultslist</x:v>
      </x:c>
      <x:c r="P27" s="78" t="str">
        <x:v>Recuperado</x:v>
      </x:c>
      <x:c r="Q27" s="78" t="str">
        <x:v>Evaluado</x:v>
      </x:c>
      <x:c r="R27" s="78" t="str">
        <x:v>Incluir</x:v>
      </x:c>
      <x:c r="S27" s="78" t="str"/>
      <x:c r="T27" s="73" t="str">
        <x:v>Aporta evidencia empírica sobre contexto rural, apoyo, aceptación y continuidad de sistemas de información agrícola.</x:v>
      </x:c>
      <x:c r="U27" s="78" t="str">
        <x:v>Parcial</x:v>
      </x:c>
      <x:c r="V27" s="78" t="str">
        <x:v>Encuesta y modelo de aceptación/continuidad</x:v>
      </x:c>
      <x:c r="W27" s="78" t="str">
        <x:v>Sí</x:v>
      </x:c>
      <x:c r="X27" s="78" t="str">
        <x:v>No</x:v>
      </x:c>
      <x:c r="Y27" s="78" t="str">
        <x:v>Sí</x:v>
      </x:c>
      <x:c r="Z27" s="78" t="str">
        <x:v>No</x:v>
      </x:c>
      <x:c r="AA27" s="73" t="str">
        <x:v>Evidencia empírica sobre soporte, contexto, aceptación y continuidad</x:v>
      </x:c>
      <x:c r="AB27" s="73" t="str">
        <x:v>La continuidad se mide principalmente como intención/autorreporte, no como uso observado a largo plazo.</x:v>
      </x:c>
      <x:c r="AC27" s="73" t="str">
        <x:v>Agricultural information systems acceptance and continuance in rural.pdf</x:v>
      </x:c>
      <x:c r="AD27" s="73" t="str">
        <x:v>S2_SCOPUS_027_AIS_Acceptance_Continuance_Rural.pdf</x:v>
      </x:c>
      <x:c r="AE27" s="80" t="n">
        <x:v>46251.5</x:v>
      </x:c>
      <x:c r="AF27" s="73" t="str">
        <x:v>Codex (revisión asistida)</x:v>
      </x:c>
      <x:c r="AG27" s="73" t="str">
        <x:v>Lote 1 cerrado.</x:v>
      </x:c>
    </x:row>
    <x:row r="28" ht="56" customHeight="1">
      <x:c r="A28" s="77" t="n">
        <x:v>28</x:v>
      </x:c>
      <x:c r="B28" s="73" t="str">
        <x:v>P1—Top100 A</x:v>
      </x:c>
      <x:c r="C28" s="78" t="str">
        <x:v>A</x:v>
      </x:c>
      <x:c r="D28" s="79" t="n">
        <x:v>97</x:v>
      </x:c>
      <x:c r="E28" s="78" t="str">
        <x:v>I23; I3M</x:v>
      </x:c>
      <x:c r="F28" s="73" t="str">
        <x:v>Revisión dedicada a arquitectura, despliegue y restricciones de sistemas IoT de riego.</x:v>
      </x:c>
      <x:c r="G28" s="79" t="n">
        <x:v>2</x:v>
      </x:c>
      <x:c r="H28" s="78" t="str">
        <x:v>2-s2.0-105043714497</x:v>
      </x:c>
      <x:c r="I28" s="78" t="str">
        <x:v>10.1016/j.agwat.2026.110615</x:v>
      </x:c>
      <x:c r="J28" s="73" t="str">
        <x:v>Moustafa A.; Abdelwahab O.M.M.; Ricci G.F.; Gentile F.</x:v>
      </x:c>
      <x:c r="K28" s="79" t="n">
        <x:v>2026</x:v>
      </x:c>
      <x:c r="L28" s="73" t="str">
        <x:v>Internet of Things-enabled smart irrigation systems for precision water management: A systematic review</x:v>
      </x:c>
      <x:c r="M28" s="73" t="str">
        <x:v>Agricultural Water Management</x:v>
      </x:c>
      <x:c r="N28" s="73" t="str">
        <x:v>Review</x:v>
      </x:c>
      <x:c r="O28" s="73" t="str">
        <x:v>https://www.scopus.com/pages/publications/105043714497?origin=resultslist</x:v>
      </x:c>
      <x:c r="P28" s="78" t="str">
        <x:v>Recuperado</x:v>
      </x:c>
      <x:c r="Q28" s="78" t="str">
        <x:v>Evaluado</x:v>
      </x:c>
      <x:c r="R28" s="78" t="str">
        <x:v>Incluir</x:v>
      </x:c>
      <x:c r="S28" s="78" t="str"/>
      <x:c r="T28" s="73" t="str">
        <x:v>Revisión PRISMA de 50 estudios que integra arquitectura, hardware, DSS, desempeño cuantitativo, confiabilidad y desafíos operacionales; documenta costos, soporte local, calibración, conectividad y escasez de validaciones prolongadas.</x:v>
      </x:c>
      <x:c r="U28" s="78" t="str">
        <x:v>No aplica (revisión)</x:v>
      </x:c>
      <x:c r="V28" s="78" t="str">
        <x:v>Revisión sistemática PRISMA</x:v>
      </x:c>
      <x:c r="W28" s="78" t="str">
        <x:v>Sí</x:v>
      </x:c>
      <x:c r="X28" s="78" t="str">
        <x:v>Parcial</x:v>
      </x:c>
      <x:c r="Y28" s="78" t="str">
        <x:v>Sí</x:v>
      </x:c>
      <x:c r="Z28" s="78" t="str">
        <x:v>No</x:v>
      </x:c>
      <x:c r="AA28" s="73" t="str">
        <x:v>Evidencia secundaria comparativa sobre ajuste contextual, capacidad verificada y brechas de soportabilidad en riego inteligente.</x:v>
      </x:c>
      <x:c r="AB28" s="73" t="str">
        <x:v>Una sola base de datos y estudios muy heterogéneos; predominan prototipos o ensayos de una temporada y escasean despliegues comerciales longitudinales.</x:v>
      </x:c>
      <x:c r="AC28" s="73" t="str">
        <x:v>Internet of Things-enabled smart irrigation systems for precision water.pdf</x:v>
      </x:c>
      <x:c r="AD28" s="73" t="str">
        <x:v>S2_SCOPUS_028_IoT_Smart_Irrigation_Systematic_Review.pdf</x:v>
      </x:c>
      <x:c r="AE28" s="80" t="n">
        <x:v>46251.5</x:v>
      </x:c>
      <x:c r="AF28" s="73" t="str">
        <x:v>Codex (revisión asistida)</x:v>
      </x:c>
      <x:c r="AG28" s="73" t="str">
        <x:v>Lote 2 cerrado.</x:v>
      </x:c>
    </x:row>
    <x:row r="29" ht="56" customHeight="1">
      <x:c r="A29" s="77" t="n">
        <x:v>29</x:v>
      </x:c>
      <x:c r="B29" s="73" t="str">
        <x:v>P2—B seleccionada</x:v>
      </x:c>
      <x:c r="C29" s="78" t="str">
        <x:v>B</x:v>
      </x:c>
      <x:c r="D29" s="79" t="n">
        <x:v>14</x:v>
      </x:c>
      <x:c r="E29" s="78" t="str">
        <x:v>I23; I3M</x:v>
      </x:c>
      <x:c r="F29" s="73" t="str">
        <x:v>La evaluación parte de un despliegue WSN prolongado en parcelas, aunque se concentra en la calidad de la estimación LAI.</x:v>
      </x:c>
      <x:c r="G29" s="79" t="n">
        <x:v>3</x:v>
      </x:c>
      <x:c r="H29" s="78" t="str">
        <x:v>2-s2.0-85070284014</x:v>
      </x:c>
      <x:c r="I29" s="78" t="str">
        <x:v>10.1016/j.compag.2019.104867</x:v>
      </x:c>
      <x:c r="J29" s="73" t="str">
        <x:v>Bauer J.; Jarmer T.; Schittenhelm S.; Siegmann B.; Aschenbruck N.</x:v>
      </x:c>
      <x:c r="K29" s="79" t="n">
        <x:v>2019</x:v>
      </x:c>
      <x:c r="L29" s="73" t="str">
        <x:v>Processing and filtering of leaf area index time series assessed by in-situ wireless sensor networks</x:v>
      </x:c>
      <x:c r="M29" s="73" t="str">
        <x:v>Computers and Electronics in Agriculture</x:v>
      </x:c>
      <x:c r="N29" s="73" t="str">
        <x:v>Article</x:v>
      </x:c>
      <x:c r="O29" s="73" t="str">
        <x:v>https://www.scopus.com/pages/publications/85070284014?origin=resultslist</x:v>
      </x:c>
      <x:c r="P29" s="78" t="str">
        <x:v>Recuperado</x:v>
      </x:c>
      <x:c r="Q29" s="78" t="str">
        <x:v>Evaluado</x:v>
      </x:c>
      <x:c r="R29" s="78" t="str">
        <x:v>Incluir</x:v>
      </x:c>
      <x:c r="S29" s="78" t="str"/>
      <x:c r="T29" s="73" t="str">
        <x:v>Documenta un despliegue WSN desatendido de 74 días en trigo, valida la capacidad de estimar LAI frente a un instrumento comercial y registra fallos reales de software, energía solar y sellado, entregas de datos de 40–80 %, correcciones y uso de redundancia.</x:v>
      </x:c>
      <x:c r="U29" s="78" t="str">
        <x:v>Sí</x:v>
      </x:c>
      <x:c r="V29" s="78" t="str">
        <x:v>Despliegue WSN de campo durante 74 días con validación instrumental</x:v>
      </x:c>
      <x:c r="W29" s="78" t="str">
        <x:v>Sí</x:v>
      </x:c>
      <x:c r="X29" s="78" t="str">
        <x:v>Sí</x:v>
      </x:c>
      <x:c r="Y29" s="78" t="str">
        <x:v>Sí</x:v>
      </x:c>
      <x:c r="Z29" s="78" t="str">
        <x:v>Parcial</x:v>
      </x:c>
      <x:c r="AA29" s="73" t="str">
        <x:v>Caso empírico fuerte sobre validación situada, fallos de infraestructura, redundancia y adaptación durante un despliegue agrícola desatendido.</x:v>
      </x:c>
      <x:c r="AB29" s="73" t="str">
        <x:v>Se limita a parcelas experimentales, una campaña de 74 días y una tarea de monitoreo; no evalúa uso por agricultores, mantenimiento organizacional ni continuidad entre temporadas.</x:v>
      </x:c>
      <x:c r="AC29" s="73" t="str">
        <x:v>Processing and filtering of leaf area index time series assessed by in-situ.pdf</x:v>
      </x:c>
      <x:c r="AD29" s="73" t="str">
        <x:v>S2_SCOPUS_029_LAI_Time_Series_In_Situ_WSN.pdf</x:v>
      </x:c>
      <x:c r="AE29" s="80" t="n">
        <x:v>46251.5</x:v>
      </x:c>
      <x:c r="AF29" s="73" t="str">
        <x:v>Codex (revisión asistida)</x:v>
      </x:c>
      <x:c r="AG29" s="73" t="str">
        <x:v>Lote 3 cerrado.</x:v>
      </x:c>
    </x:row>
    <x:row r="30" ht="56" customHeight="1">
      <x:c r="A30" s="77" t="n">
        <x:v>30</x:v>
      </x:c>
      <x:c r="B30" s="73" t="str">
        <x:v>P2—B seleccionada</x:v>
      </x:c>
      <x:c r="C30" s="78" t="str">
        <x:v>B</x:v>
      </x:c>
      <x:c r="D30" s="79" t="n">
        <x:v>29</x:v>
      </x:c>
      <x:c r="E30" s="78" t="str">
        <x:v>I12; I3M</x:v>
      </x:c>
      <x:c r="F30" s="73" t="str">
        <x:v>Identifica barreras financieras, confianza, privacidad y falta de personal para adoptar DSS, sin seguimiento longitudinal.</x:v>
      </x:c>
      <x:c r="G30" s="79" t="n">
        <x:v>2</x:v>
      </x:c>
      <x:c r="H30" s="78" t="str">
        <x:v>2-s2.0-85168664736</x:v>
      </x:c>
      <x:c r="I30" s="78" t="str">
        <x:v>10.1002/agj2.21432</x:v>
      </x:c>
      <x:c r="J30" s="73" t="str">
        <x:v>Brugler S.; Gardezi M.; Dadkhah A.; Rizzo D.M.; Zia A.; Clay S.A.</x:v>
      </x:c>
      <x:c r="K30" s="79" t="n">
        <x:v>2024</x:v>
      </x:c>
      <x:c r="L30" s="73" t="str">
        <x:v>Improving decision support systems with machine learning: Identifying barriers to adoption</x:v>
      </x:c>
      <x:c r="M30" s="73" t="str">
        <x:v>Agronomy Journal</x:v>
      </x:c>
      <x:c r="N30" s="73" t="str">
        <x:v>Article</x:v>
      </x:c>
      <x:c r="O30" s="73" t="str">
        <x:v>https://www.scopus.com/pages/publications/85168664736?origin=resultslist</x:v>
      </x:c>
      <x:c r="P30" s="78" t="str">
        <x:v>Recuperado</x:v>
      </x:c>
      <x:c r="Q30" s="78" t="str">
        <x:v>Evaluado</x:v>
      </x:c>
      <x:c r="R30" s="78" t="str">
        <x:v>Incluir</x:v>
      </x:c>
      <x:c r="S30" s="78" t="str"/>
      <x:c r="T30" s="73" t="str">
        <x:v>Compara casos exitosos y fallidos de DSS y muestra cómo el ajuste a la operación, la cocreación, la capacitación, la disponibilidad de personal y el mantenimiento influyen en la adopción y el uso sostenido.</x:v>
      </x:c>
      <x:c r="U30" s="78" t="str">
        <x:v>Parcial</x:v>
      </x:c>
      <x:c r="V30" s="78" t="str">
        <x:v>Artículo de foro con síntesis de literatura y casos</x:v>
      </x:c>
      <x:c r="W30" s="78" t="str">
        <x:v>Sí</x:v>
      </x:c>
      <x:c r="X30" s="78" t="str">
        <x:v>Sí</x:v>
      </x:c>
      <x:c r="Y30" s="78" t="str">
        <x:v>Sí</x:v>
      </x:c>
      <x:c r="Z30" s="78" t="str">
        <x:v>Parcial</x:v>
      </x:c>
      <x:c r="AA30" s="73" t="str">
        <x:v>Evidencia secundaria comparativa sobre ajuste, cocreación, mantenimiento, aprendizaje y continuidad de DSS agrícolas.</x:v>
      </x:c>
      <x:c r="AB30" s="73" t="str">
        <x:v>Artículo de foro sin búsqueda sistemática ni datos originales; los casos fueron seleccionados de la literatura y no comparten un protocolo de comparación.</x:v>
      </x:c>
      <x:c r="AC30" s="73" t="str">
        <x:v>Improving decision support systems with machine learning.pdf</x:v>
      </x:c>
      <x:c r="AD30" s="73" t="str">
        <x:v>S2_SCOPUS_030_DSS_Machine_Learning_Barriers_Adoption.pdf</x:v>
      </x:c>
      <x:c r="AE30" s="80" t="n">
        <x:v>46251.5</x:v>
      </x:c>
      <x:c r="AF30" s="73" t="str">
        <x:v>Codex (revisión asistida)</x:v>
      </x:c>
      <x:c r="AG30" s="73" t="str">
        <x:v>Lote 2 cerrado.</x:v>
      </x:c>
    </x:row>
    <x:row r="31" ht="56" customHeight="1">
      <x:c r="A31" s="77" t="n">
        <x:v>31</x:v>
      </x:c>
      <x:c r="B31" s="73" t="str">
        <x:v>P2—B seleccionada</x:v>
      </x:c>
      <x:c r="C31" s="78" t="str">
        <x:v>B</x:v>
      </x:c>
      <x:c r="D31" s="79" t="n">
        <x:v>30</x:v>
      </x:c>
      <x:c r="E31" s="78" t="str">
        <x:v>I23; I3M</x:v>
      </x:c>
      <x:c r="F31" s="73" t="str">
        <x:v>Revisión de gemelos digitales pertinente a integración e interconexión, con evidencia operacional todavía general.</x:v>
      </x:c>
      <x:c r="G31" s="79" t="n">
        <x:v>1</x:v>
      </x:c>
      <x:c r="H31" s="78" t="str">
        <x:v>2-s2.0-105024201446</x:v>
      </x:c>
      <x:c r="I31" s="78" t="str">
        <x:v>10.1016/j.grets.2025.100299</x:v>
      </x:c>
      <x:c r="J31" s="73" t="str">
        <x:v>Subeesh A.; Chauhan N.</x:v>
      </x:c>
      <x:c r="K31" s="79" t="n">
        <x:v>2026</x:v>
      </x:c>
      <x:c r="L31" s="73" t="str">
        <x:v>Agricultural digital twin for smart farming: A review</x:v>
      </x:c>
      <x:c r="M31" s="73" t="str">
        <x:v>Green Technologies and Sustainability</x:v>
      </x:c>
      <x:c r="N31" s="73" t="str">
        <x:v>Review</x:v>
      </x:c>
      <x:c r="O31" s="73" t="str">
        <x:v>https://www.scopus.com/pages/publications/105024201446?origin=resultslist</x:v>
      </x:c>
      <x:c r="P31" s="78" t="str">
        <x:v>Recuperado</x:v>
      </x:c>
      <x:c r="Q31" s="78" t="str">
        <x:v>Evaluado</x:v>
      </x:c>
      <x:c r="R31" s="78" t="str">
        <x:v>Incluir</x:v>
      </x:c>
      <x:c r="S31" s="78" t="str"/>
      <x:c r="T31" s="73" t="str">
        <x:v>Sintetiza evidencia sobre interoperabilidad, desajustes del ciclo de vida, soporte de proveedores e infraestructura en gemelos digitales agrícolas.</x:v>
      </x:c>
      <x:c r="U31" s="78" t="str">
        <x:v>No aplica (revisión)</x:v>
      </x:c>
      <x:c r="V31" s="78" t="str">
        <x:v>Revisión de literatura</x:v>
      </x:c>
      <x:c r="W31" s="78" t="str">
        <x:v>No</x:v>
      </x:c>
      <x:c r="X31" s="78" t="str">
        <x:v>Sí</x:v>
      </x:c>
      <x:c r="Y31" s="78" t="str">
        <x:v>Sí</x:v>
      </x:c>
      <x:c r="Z31" s="78" t="str">
        <x:v>No</x:v>
      </x:c>
      <x:c r="AA31" s="73" t="str">
        <x:v>Evidencia secundaria sobre integración y soportabilidad</x:v>
      </x:c>
      <x:c r="AB31" s="73" t="str">
        <x:v>Los métodos de revisión se describen de forma general; tratar las conclusiones como evidencia secundaria de confianza moderada.</x:v>
      </x:c>
      <x:c r="AC31" s="73" t="str">
        <x:v>Agricultural digital twin for smart farming A review.pdf</x:v>
      </x:c>
      <x:c r="AD31" s="73" t="str">
        <x:v>S2_SCOPUS_031_Agricultural_Digital_Twin_Review.pdf</x:v>
      </x:c>
      <x:c r="AE31" s="80" t="n">
        <x:v>46251.5</x:v>
      </x:c>
      <x:c r="AF31" s="73" t="str">
        <x:v>Codex (revisión asistida)</x:v>
      </x:c>
      <x:c r="AG31" s="73" t="str">
        <x:v>Lote 1 cerrado.</x:v>
      </x:c>
    </x:row>
    <x:row r="32" ht="56" customHeight="1">
      <x:c r="A32" s="77" t="n">
        <x:v>32</x:v>
      </x:c>
      <x:c r="B32" s="73" t="str">
        <x:v>P2—B seleccionada</x:v>
      </x:c>
      <x:c r="C32" s="78" t="str">
        <x:v>B</x:v>
      </x:c>
      <x:c r="D32" s="79" t="n">
        <x:v>43</x:v>
      </x:c>
      <x:c r="E32" s="78" t="str">
        <x:v>I12; I3M</x:v>
      </x:c>
      <x:c r="F32" s="73" t="str">
        <x:v>Encuesta a agricultores sobre barreras de implementación y beneficios de agricultura inteligente, sin continuidad longitudinal.</x:v>
      </x:c>
      <x:c r="G32" s="79"/>
      <x:c r="H32" s="78" t="str">
        <x:v>2-s2.0-85219031595</x:v>
      </x:c>
      <x:c r="I32" s="78" t="str">
        <x:v>10.1108/IJQRM-09-2024-0320</x:v>
      </x:c>
      <x:c r="J32" s="73" t="str">
        <x:v>Narayanamurthy G.; Shiva Jayanth R.S.; Tortorella G.; Fogliatto F.</x:v>
      </x:c>
      <x:c r="K32" s="79" t="n">
        <x:v>2025</x:v>
      </x:c>
      <x:c r="L32" s="73" t="str">
        <x:v>Empirical investigation of barriers and benefits of smart farming</x:v>
      </x:c>
      <x:c r="M32" s="73" t="str">
        <x:v>International Journal of Quality and Reliability Management</x:v>
      </x:c>
      <x:c r="N32" s="73" t="str">
        <x:v>Article</x:v>
      </x:c>
      <x:c r="O32" s="73" t="str">
        <x:v>https://www.scopus.com/pages/publications/85219031595?origin=resultslist</x:v>
      </x:c>
      <x:c r="P32" s="78" t="str">
        <x:v>No recuperado</x:v>
      </x:c>
      <x:c r="Q32" s="78" t="str">
        <x:v>No evaluable</x:v>
      </x:c>
      <x:c r="R32" s="78" t="str">
        <x:v>No evaluable</x:v>
      </x:c>
      <x:c r="S32" s="78" t="str">
        <x:v>E07</x:v>
      </x:c>
      <x:c r="T32" s="73" t="str">
        <x:v>No se logró recuperar el texto completo. Se registra como E07 para control documental y PRISMA; no constituye una exclusión después de lectura a texto completo.</x:v>
      </x:c>
      <x:c r="U32" s="78" t="str">
        <x:v>No evaluable</x:v>
      </x:c>
      <x:c r="V32" s="78" t="str">
        <x:v>No disponible</x:v>
      </x:c>
      <x:c r="W32" s="78" t="str">
        <x:v>No evaluable</x:v>
      </x:c>
      <x:c r="X32" s="78" t="str">
        <x:v>No evaluable</x:v>
      </x:c>
      <x:c r="Y32" s="78" t="str">
        <x:v>No evaluable</x:v>
      </x:c>
      <x:c r="Z32" s="78" t="str">
        <x:v>No evaluable</x:v>
      </x:c>
      <x:c r="AA32" s="73" t="str">
        <x:v>No evaluable</x:v>
      </x:c>
      <x:c r="AB32" s="73" t="str">
        <x:v>Sin texto completo no es posible evaluar responsablemente la pertinencia ni las interfaces.</x:v>
      </x:c>
      <x:c r="AC32" s="73"/>
      <x:c r="AD32" s="73"/>
      <x:c r="AE32" s="80" t="n">
        <x:v>46252</x:v>
      </x:c>
      <x:c r="AF32" s="73" t="str">
        <x:v>Codex (control documental)</x:v>
      </x:c>
      <x:c r="AG32" s="73" t="str">
        <x:v>ID 032 conciliado como E07 — reporte no recuperado; no contar como exclusión por contenido.</x:v>
      </x:c>
    </x:row>
    <x:row r="33" ht="56" customHeight="1">
      <x:c r="A33" s="77" t="n">
        <x:v>33</x:v>
      </x:c>
      <x:c r="B33" s="73" t="str">
        <x:v>P2—B seleccionada</x:v>
      </x:c>
      <x:c r="C33" s="78" t="str">
        <x:v>B</x:v>
      </x:c>
      <x:c r="D33" s="79" t="n">
        <x:v>51</x:v>
      </x:c>
      <x:c r="E33" s="78" t="str">
        <x:v>I12; I23</x:v>
      </x:c>
      <x:c r="F33" s="73" t="str">
        <x:v>Sistema automatizado de riego probado en campo; aporta contexto e integración, pero no seguimiento de soporte o recuperación.</x:v>
      </x:c>
      <x:c r="G33" s="79" t="n">
        <x:v>3</x:v>
      </x:c>
      <x:c r="H33" s="78" t="str">
        <x:v>2-s2.0-105038446027</x:v>
      </x:c>
      <x:c r="I33" s="78" t="str">
        <x:v>10.3390/s26092692</x:v>
      </x:c>
      <x:c r="J33" s="73" t="str">
        <x:v>Mahmud M.N.H.; Dong Y.; Alam M.M.; Sharmin J.</x:v>
      </x:c>
      <x:c r="K33" s="79" t="n">
        <x:v>2026</x:v>
      </x:c>
      <x:c r="L33" s="73" t="str">
        <x:v>IoT-Based Precision Irrigation System Featuring Multi-Sensor Monitoring and Scheduled Automated Water-Control Gates for Rice Production</x:v>
      </x:c>
      <x:c r="M33" s="73" t="str">
        <x:v>Sensors</x:v>
      </x:c>
      <x:c r="N33" s="73" t="str">
        <x:v>Article</x:v>
      </x:c>
      <x:c r="O33" s="73" t="str">
        <x:v>https://www.scopus.com/pages/publications/105038446027?origin=resultslist</x:v>
      </x:c>
      <x:c r="P33" s="78" t="str">
        <x:v>Recuperado</x:v>
      </x:c>
      <x:c r="Q33" s="78" t="str">
        <x:v>Evaluado</x:v>
      </x:c>
      <x:c r="R33" s="78" t="str">
        <x:v>Incluir</x:v>
      </x:c>
      <x:c r="S33" s="78" t="str"/>
      <x:c r="T33" s="73" t="str">
        <x:v>Implementa un sistema de riego automatizado multiparcela durante 100 días y cuantifica desempeño agronómico, transmisión GPRS, latencia, interrupciones, recuperación GSM, ejecución de comandos, funcionamiento de compuertas, costos y necesidades de mantenimiento.</x:v>
      </x:c>
      <x:c r="U33" s="78" t="str">
        <x:v>Sí</x:v>
      </x:c>
      <x:c r="V33" s="78" t="str">
        <x:v>Ensayo de campo automatizado de 100 días durante una temporada</x:v>
      </x:c>
      <x:c r="W33" s="78" t="str">
        <x:v>Sí</x:v>
      </x:c>
      <x:c r="X33" s="78" t="str">
        <x:v>Sí</x:v>
      </x:c>
      <x:c r="Y33" s="78" t="str">
        <x:v>Sí</x:v>
      </x:c>
      <x:c r="Z33" s="78" t="str">
        <x:v>No</x:v>
      </x:c>
      <x:c r="AA33" s="73" t="str">
        <x:v>Caso empírico fuerte de despliegue situado con validación técnica, continuidad operacional y dependencias locales explícitas.</x:v>
      </x:c>
      <x:c r="AB33" s="73" t="str">
        <x:v>Fue probado en una estación experimental, un sitio, una variedad, un suelo y una temporada; no demuestra durabilidad multitemporada, soporte técnico ni operación a escala de agricultores.</x:v>
      </x:c>
      <x:c r="AC33" s="73" t="str">
        <x:v>IoT-Based Precision Irrigation System Featuring Multi-Sensor Monitoring and Scheduled Automated Water-Control Gates for Rice Production.pdf</x:v>
      </x:c>
      <x:c r="AD33" s="73" t="str">
        <x:v>S2_SCOPUS_033_IoT_Precision_Irrigation_Rice.pdf</x:v>
      </x:c>
      <x:c r="AE33" s="80" t="n">
        <x:v>46251.5</x:v>
      </x:c>
      <x:c r="AF33" s="73" t="str">
        <x:v>Codex (revisión asistida)</x:v>
      </x:c>
      <x:c r="AG33" s="73" t="str">
        <x:v>Lote 3 cerrado.</x:v>
      </x:c>
    </x:row>
    <x:row r="34" ht="56" customHeight="1">
      <x:c r="A34" s="77" t="n">
        <x:v>34</x:v>
      </x:c>
      <x:c r="B34" s="73" t="str">
        <x:v>P2—B seleccionada</x:v>
      </x:c>
      <x:c r="C34" s="78" t="str">
        <x:v>B</x:v>
      </x:c>
      <x:c r="D34" s="79" t="n">
        <x:v>70</x:v>
      </x:c>
      <x:c r="E34" s="78" t="str">
        <x:v>I12; I3M</x:v>
      </x:c>
      <x:c r="F34" s="73" t="str">
        <x:v>Revisión de agricultura sin suelo que identifica inversión, dependencia tecnológica y energía como límites contextuales.</x:v>
      </x:c>
      <x:c r="G34" s="79" t="n">
        <x:v>2</x:v>
      </x:c>
      <x:c r="H34" s="78" t="str">
        <x:v>2-s2.0-85217914210</x:v>
      </x:c>
      <x:c r="I34" s="78" t="str">
        <x:v>10.1109/ACCESS.2025.3540317</x:v>
      </x:c>
      <x:c r="J34" s="73" t="str">
        <x:v>Dutta M.; Gupta D.; Tharewal S.; Goyal D.; Kaur Sandhu J.; Kaur M.; Ali Alzubi A.; Mutared Alanazi J.</x:v>
      </x:c>
      <x:c r="K34" s="79" t="n">
        <x:v>2025</x:v>
      </x:c>
      <x:c r="L34" s="73" t="str">
        <x:v>Internet of Things-Based Smart Precision Farming in Soilless Agriculture: Opportunities and Challenges for Global Food Security</x:v>
      </x:c>
      <x:c r="M34" s="73" t="str">
        <x:v>IEEE Access</x:v>
      </x:c>
      <x:c r="N34" s="73" t="str">
        <x:v>Article</x:v>
      </x:c>
      <x:c r="O34" s="73" t="str">
        <x:v>https://www.scopus.com/pages/publications/85217914210?origin=resultslist</x:v>
      </x:c>
      <x:c r="P34" s="78" t="str">
        <x:v>Recuperado</x:v>
      </x:c>
      <x:c r="Q34" s="78" t="str">
        <x:v>Evaluado</x:v>
      </x:c>
      <x:c r="R34" s="78" t="str">
        <x:v>Incluir</x:v>
      </x:c>
      <x:c r="S34" s="78" t="str"/>
      <x:c r="T34" s="73" t="str">
        <x:v>Aporta evidencia secundaria sobre dependencia energética, inversión, selección de componentes, mantenimiento, acceso a herramientas de reparación y personal capacitado en agricultura sin suelo habilitada por IoT.</x:v>
      </x:c>
      <x:c r="U34" s="78" t="str">
        <x:v>No aplica (revisión)</x:v>
      </x:c>
      <x:c r="V34" s="78" t="str">
        <x:v>Revisión narrativa y análisis bibliométrico</x:v>
      </x:c>
      <x:c r="W34" s="78" t="str">
        <x:v>Parcial</x:v>
      </x:c>
      <x:c r="X34" s="78" t="str">
        <x:v>Parcial</x:v>
      </x:c>
      <x:c r="Y34" s="78" t="str">
        <x:v>Sí</x:v>
      </x:c>
      <x:c r="Z34" s="78" t="str">
        <x:v>No</x:v>
      </x:c>
      <x:c r="AA34" s="73" t="str">
        <x:v>Evidencia secundaria contextual sobre soportabilidad y escalabilidad de IoT en agricultura sin suelo y ambientes controlados.</x:v>
      </x:c>
      <x:c r="AB34" s="73" t="str">
        <x:v>El corpus bibliométrico no fue seleccionado para evaluar despliegues; las barreras se sintetizan narrativamente y sin extracción trazable por caso.</x:v>
      </x:c>
      <x:c r="AC34" s="73" t="str">
        <x:v>Internet of Things-Based Smart Precision Farming.pdf</x:v>
      </x:c>
      <x:c r="AD34" s="73" t="str">
        <x:v>S2_SCOPUS_034_IoT_Soilless_Agriculture_Review.pdf</x:v>
      </x:c>
      <x:c r="AE34" s="80" t="n">
        <x:v>46251.5</x:v>
      </x:c>
      <x:c r="AF34" s="73" t="str">
        <x:v>Codex (revisión asistida)</x:v>
      </x:c>
      <x:c r="AG34" s="73" t="str">
        <x:v>Lote 2 cerrado.</x:v>
      </x:c>
    </x:row>
    <x:row r="35" ht="56" customHeight="1">
      <x:c r="A35" s="77" t="n">
        <x:v>35</x:v>
      </x:c>
      <x:c r="B35" s="73" t="str">
        <x:v>P2—B seleccionada</x:v>
      </x:c>
      <x:c r="C35" s="78" t="str">
        <x:v>B</x:v>
      </x:c>
      <x:c r="D35" s="79" t="n">
        <x:v>93</x:v>
      </x:c>
      <x:c r="E35" s="78" t="str">
        <x:v>I12; I23</x:v>
      </x:c>
      <x:c r="F35" s="73" t="str">
        <x:v>Obtiene requisitos y satisfacción de usuarios para DSS ganaderos, sin evaluar continuidad posterior.</x:v>
      </x:c>
      <x:c r="G35" s="79" t="n">
        <x:v>3</x:v>
      </x:c>
      <x:c r="H35" s="78" t="str">
        <x:v>2-s2.0-85181872282</x:v>
      </x:c>
      <x:c r="I35" s="78" t="str">
        <x:v>10.3390/su16010268</x:v>
      </x:c>
      <x:c r="J35" s="73" t="str">
        <x:v>Münster P.; Grabkowsky B.</x:v>
      </x:c>
      <x:c r="K35" s="79" t="n">
        <x:v>2024</x:v>
      </x:c>
      <x:c r="L35" s="73" t="str">
        <x:v>Kano Model Analysis of Digital On-Farm Technologies for Climate Adaptation and Mitigation in Livestock Farming</x:v>
      </x:c>
      <x:c r="M35" s="73" t="str">
        <x:v>Sustainability (Switzerland)</x:v>
      </x:c>
      <x:c r="N35" s="73" t="str">
        <x:v>Article</x:v>
      </x:c>
      <x:c r="O35" s="73" t="str">
        <x:v>https://www.scopus.com/pages/publications/85181872282?origin=resultslist</x:v>
      </x:c>
      <x:c r="P35" s="78" t="str">
        <x:v>Recuperado</x:v>
      </x:c>
      <x:c r="Q35" s="78" t="str">
        <x:v>Evaluado</x:v>
      </x:c>
      <x:c r="R35" s="78" t="str">
        <x:v>Excluir</x:v>
      </x:c>
      <x:c r="S35" s="78" t="str">
        <x:v>E01</x:v>
      </x:c>
      <x:c r="T35" s="73" t="str">
        <x:v>La encuesta Kano obtiene preferencias ex ante de 98 ganaderos sobre atributos de un DSS hipotético, pero no estudia un sistema implementado, usuarios durante la operación, capacidades verificadas, mantenimiento, continuidad ni aprendizaje posterior al uso.</x:v>
      </x:c>
      <x:c r="U35" s="78" t="str">
        <x:v>No</x:v>
      </x:c>
      <x:c r="V35" s="78" t="str">
        <x:v>Encuesta ex ante mediante modelo Kano</x:v>
      </x:c>
      <x:c r="W35" s="78" t="str">
        <x:v>Parcial</x:v>
      </x:c>
      <x:c r="X35" s="78" t="str">
        <x:v>No</x:v>
      </x:c>
      <x:c r="Y35" s="78" t="str">
        <x:v>No</x:v>
      </x:c>
      <x:c r="Z35" s="78" t="str">
        <x:v>No</x:v>
      </x:c>
      <x:c r="AA35" s="73" t="str">
        <x:v>Evidencia de requisitos y aceptación previa al diseño, fuera del corpus de despliegue.</x:v>
      </x:c>
      <x:c r="AB35" s="73" t="str">
        <x:v>Los atributos fueron valorados sin un DSS concreto ni experiencia operacional; la muestra se limita a 98 productores alemanes y las respuestas no explican uso real o continuidad.</x:v>
      </x:c>
      <x:c r="AC35" s="73" t="str">
        <x:v>Kano Model Analysis of Digital On-Farm Technologies for Climate Adaptation and Mitigation in Livestock Farming.pdf</x:v>
      </x:c>
      <x:c r="AD35" s="73" t="str"/>
      <x:c r="AE35" s="80" t="n">
        <x:v>46251.5</x:v>
      </x:c>
      <x:c r="AF35" s="73" t="str">
        <x:v>Codex (revisión asistida)</x:v>
      </x:c>
      <x:c r="AG35" s="73" t="str">
        <x:v>Lote 3 cerrado.</x:v>
      </x:c>
    </x:row>
    <x:row r="36" ht="56" customHeight="1">
      <x:c r="A36" s="77" t="n">
        <x:v>36</x:v>
      </x:c>
      <x:c r="B36" s="73" t="str">
        <x:v>P2—B seleccionada</x:v>
      </x:c>
      <x:c r="C36" s="78" t="str">
        <x:v>B</x:v>
      </x:c>
      <x:c r="D36" s="79" t="n">
        <x:v>96</x:v>
      </x:c>
      <x:c r="E36" s="78" t="str">
        <x:v>I3M</x:v>
      </x:c>
      <x:c r="F36" s="73" t="str">
        <x:v>Ensayo de doce meses sobre energía autónoma para sensores agrícolas, sin analizar soporte organizacional.</x:v>
      </x:c>
      <x:c r="G36" s="79" t="n">
        <x:v>3</x:v>
      </x:c>
      <x:c r="H36" s="78" t="str">
        <x:v>2-s2.0-85211820995</x:v>
      </x:c>
      <x:c r="I36" s="78" t="str">
        <x:v>10.3390/s24237687</x:v>
      </x:c>
      <x:c r="J36" s="73" t="str">
        <x:v>Bancik K.; Konecny J.; Konecny J.; Mikus M.; Choutka J.; Hercik R.; Koziorek J.; Navikas D.; Andriukaitis D.; Prauzek M.</x:v>
      </x:c>
      <x:c r="K36" s="79" t="n">
        <x:v>2024</x:v>
      </x:c>
      <x:c r="L36" s="73" t="str">
        <x:v>Powering Agriculture IoT Sensors Using Natural Temperature Differences Between Air and Soil: Measurement and Evaluation</x:v>
      </x:c>
      <x:c r="M36" s="73" t="str">
        <x:v>Sensors</x:v>
      </x:c>
      <x:c r="N36" s="73" t="str">
        <x:v>Article</x:v>
      </x:c>
      <x:c r="O36" s="73" t="str">
        <x:v>https://www.scopus.com/pages/publications/85211820995?origin=resultslist</x:v>
      </x:c>
      <x:c r="P36" s="78" t="str">
        <x:v>Recuperado</x:v>
      </x:c>
      <x:c r="Q36" s="78" t="str">
        <x:v>Evaluado</x:v>
      </x:c>
      <x:c r="R36" s="78" t="str">
        <x:v>Incluir</x:v>
      </x:c>
      <x:c r="S36" s="78" t="str"/>
      <x:c r="T36" s="73" t="str">
        <x:v>Despliega durante 12 meses un subsistema termoeléctrico para sensores agrícolas y cuantifica la energía disponible, la insuficiencia invernal, la variabilidad ambiental y los compromisos entre continuidad, costo, tamaño, protección frente a residuos y fuentes híbridas.</x:v>
      </x:c>
      <x:c r="U36" s="78" t="str">
        <x:v>Parcial</x:v>
      </x:c>
      <x:c r="V36" s="78" t="str">
        <x:v>Despliegue de campo de un subsistema energético durante 12 meses</x:v>
      </x:c>
      <x:c r="W36" s="78" t="str">
        <x:v>Sí</x:v>
      </x:c>
      <x:c r="X36" s="78" t="str">
        <x:v>Parcial</x:v>
      </x:c>
      <x:c r="Y36" s="78" t="str">
        <x:v>Sí</x:v>
      </x:c>
      <x:c r="Z36" s="78" t="str">
        <x:v>No</x:v>
      </x:c>
      <x:c r="AA36" s="73" t="str">
        <x:v>Caso de frontera con evidencia empírica longitudinal sobre la soportabilidad energética de nodos IoT agrícolas.</x:v>
      </x:c>
      <x:c r="AB36" s="73" t="str">
        <x:v>No integra ni opera un enlace WSN real, se limita a un sitio y no demuestra una tarea agrícola automatizada completa; la capacidad del nodo se estima a partir de consumos publicados.</x:v>
      </x:c>
      <x:c r="AC36" s="73" t="str">
        <x:v>Powering Agriculture IoT Sensors Using Natural Temperature Differences Between Air and Soil Measurement and Evaluation.pdf</x:v>
      </x:c>
      <x:c r="AD36" s="73" t="str">
        <x:v>S2_SCOPUS_036_Powering_Agriculture_IoT_Sensors.pdf</x:v>
      </x:c>
      <x:c r="AE36" s="80" t="n">
        <x:v>46251.5</x:v>
      </x:c>
      <x:c r="AF36" s="73" t="str">
        <x:v>Codex (revisión asistida)</x:v>
      </x:c>
      <x:c r="AG36" s="73" t="str">
        <x:v>Lote 3 cerrado.</x:v>
      </x:c>
    </x:row>
  </x:sheetData>
  <x:mergeCells>
    <x:mergeCell ref="A1:AG1"/>
    <x:mergeCell ref="A2:AG2"/>
  </x:mergeCells>
  <x:conditionalFormatting sqref="R5:R36">
    <x:cfRule type="containsText" dxfId="0" priority="1" operator="containsText" text="Incluir"/>
    <x:cfRule type="containsText" dxfId="1" priority="2" operator="containsText" text="Excluir"/>
    <x:cfRule type="containsText" dxfId="2" priority="3" operator="containsText" text="Pendiente"/>
  </x:conditionalFormatting>
  <x:conditionalFormatting sqref="P5:P36">
    <x:cfRule type="containsText" dxfId="3" priority="4" operator="containsText" text="Recuperado"/>
    <x:cfRule type="containsText" dxfId="4" priority="5" operator="containsText" text="No recuperado"/>
    <x:cfRule type="containsText" dxfId="5" priority="6" operator="containsText" text="Por confirmar"/>
  </x:conditionalFormatting>
  <x:dataValidations count="9">
    <x:dataValidation type="whole" operator="between" sqref="G5:G36">
      <x:formula1>1</x:formula1>
      <x:formula2>10</x:formula2>
    </x:dataValidation>
    <x:dataValidation type="list" sqref="P5:P36">
      <x:formula1>"Recuperado,No recuperado,Por confirmar"</x:formula1>
    </x:dataValidation>
    <x:dataValidation type="list" sqref="Q5:Q36">
      <x:formula1>"Pendiente,Evaluado,No evaluable"</x:formula1>
    </x:dataValidation>
    <x:dataValidation type="list" sqref="R5:R36">
      <x:formula1>"Pendiente,Incluir,Excluir"</x:formula1>
    </x:dataValidation>
    <x:dataValidation type="list" sqref="U5:U36">
      <x:formula1>"Sí,Parcial,No,No aplica (revisión),Pendiente"</x:formula1>
    </x:dataValidation>
    <x:dataValidation type="list" sqref="W5:W36">
      <x:formula1>"Sí,Parcial,No,No evaluable,Pendiente"</x:formula1>
    </x:dataValidation>
    <x:dataValidation type="list" sqref="X5:X36">
      <x:formula1>"Sí,Parcial,No,No evaluable,Pendiente"</x:formula1>
    </x:dataValidation>
    <x:dataValidation type="list" sqref="Y5:Y36">
      <x:formula1>"Sí,Parcial,No,No evaluable,Pendiente"</x:formula1>
    </x:dataValidation>
    <x:dataValidation type="list" sqref="Z5:Z36">
      <x:formula1>"Sí,Parcial,No,No evaluable,Pendiente"</x:formula1>
    </x:dataValidation>
  </x:dataValidations>
  <x:pageMargins left="0.7" right="0.7" top="0.75" bottom="0.75" header="0.3" footer="0.3"/>
  <x:tableParts count="1">
    <x:tablePart xmlns:r="http://schemas.openxmlformats.org/officeDocument/2006/relationships" r:id="R73e56350149a43f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16" hidden="0" customWidth="1"/>
    <x:col min="3" max="3" width="16" hidden="0" customWidth="1"/>
    <x:col min="4" max="4" width="36" hidden="0" customWidth="1"/>
    <x:col min="5" max="5" width="18" hidden="0" customWidth="1"/>
    <x:col min="6" max="6" width="12" hidden="0" customWidth="1"/>
    <x:col min="7" max="7" width="12" hidden="0" customWidth="1"/>
    <x:col min="8" max="8" width="12" hidden="0" customWidth="1"/>
    <x:col min="9" max="9" width="12" hidden="0" customWidth="1"/>
    <x:col min="10" max="10" width="16" hidden="0" customWidth="1"/>
    <x:col min="11" max="11" width="42" hidden="0" customWidth="1"/>
  </x:cols>
  <x:sheetData>
    <x:row r="1" ht="34" customHeight="1">
      <x:c r="A1" s="7" t="str">
        <x:v>S2 — control de lotes de texto completo</x:v>
      </x:c>
      <x:c r="B1" s="7" t="str">
        <x:v>S2 — control de lotes de texto completo</x:v>
      </x:c>
      <x:c r="C1" s="7" t="str">
        <x:v>S2 — control de lotes de texto completo</x:v>
      </x:c>
      <x:c r="D1" s="7" t="str">
        <x:v>S2 — control de lotes de texto completo</x:v>
      </x:c>
      <x:c r="E1" s="7" t="str">
        <x:v>S2 — control de lotes de texto completo</x:v>
      </x:c>
      <x:c r="F1" s="7" t="str">
        <x:v>S2 — control de lotes de texto completo</x:v>
      </x:c>
      <x:c r="G1" s="7" t="str">
        <x:v>S2 — control de lotes de texto completo</x:v>
      </x:c>
      <x:c r="H1" s="7" t="str">
        <x:v>S2 — control de lotes de texto completo</x:v>
      </x:c>
      <x:c r="I1" s="7" t="str">
        <x:v>S2 — control de lotes de texto completo</x:v>
      </x:c>
      <x:c r="J1" s="7" t="str">
        <x:v>S2 — control de lotes de texto completo</x:v>
      </x:c>
      <x:c r="K1" s="7" t="str">
        <x:v>S2 — control de lotes de texto completo</x:v>
      </x:c>
    </x:row>
    <x:row r="2" ht="30" customHeight="1">
      <x:c r="A2" s="12" t="str">
        <x:v>Los cinco lotes operativos cubrieron 26 candidatos (25 textos recuperados + ID 020 no recuperado). Los otros seis reportes no recuperados —ID 014, 015, 016, 021, 025 y 032— fueron conciliados directamente como E07 fuera de los lotes porque no hubo texto completo para evaluar.</x:v>
      </x:c>
      <x:c r="B2" s="12" t="str">
        <x:v>Plan operativo: 26 reportes recuperados en cinco lotes (6 + 6 + 6 + 6 + 2).</x:v>
      </x:c>
      <x:c r="C2" s="12" t="str">
        <x:v>Plan operativo: 26 reportes recuperados en cinco lotes (6 + 6 + 6 + 6 + 2).</x:v>
      </x:c>
      <x:c r="D2" s="12" t="str">
        <x:v>Plan operativo: 26 reportes recuperados en cinco lotes (6 + 6 + 6 + 6 + 2).</x:v>
      </x:c>
      <x:c r="E2" s="12" t="str">
        <x:v>Plan operativo: 26 reportes recuperados en cinco lotes (6 + 6 + 6 + 6 + 2).</x:v>
      </x:c>
      <x:c r="F2" s="12" t="str">
        <x:v>Plan operativo: 26 reportes recuperados en cinco lotes (6 + 6 + 6 + 6 + 2).</x:v>
      </x:c>
      <x:c r="G2" s="12" t="str">
        <x:v>Plan operativo: 26 reportes recuperados en cinco lotes (6 + 6 + 6 + 6 + 2).</x:v>
      </x:c>
      <x:c r="H2" s="12" t="str">
        <x:v>Plan operativo: 26 reportes recuperados en cinco lotes (6 + 6 + 6 + 6 + 2).</x:v>
      </x:c>
      <x:c r="I2" s="12" t="str">
        <x:v>Plan operativo: 26 reportes recuperados en cinco lotes (6 + 6 + 6 + 6 + 2).</x:v>
      </x:c>
      <x:c r="J2" s="12" t="str">
        <x:v>Plan operativo: 26 reportes recuperados en cinco lotes (6 + 6 + 6 + 6 + 2).</x:v>
      </x:c>
      <x:c r="K2" s="12" t="str">
        <x:v>Plan operativo: 26 reportes recuperados en cinco lotes (6 + 6 + 6 + 6 + 2).</x:v>
      </x:c>
    </x:row>
    <x:row r="3">
      <x:c r="A3" s="2"/>
      <x:c r="B3" s="2"/>
      <x:c r="C3" s="2"/>
      <x:c r="D3" s="2"/>
      <x:c r="E3" s="2"/>
      <x:c r="F3" s="2"/>
      <x:c r="G3" s="2"/>
      <x:c r="H3" s="2"/>
      <x:c r="I3" s="2"/>
      <x:c r="J3" s="2"/>
      <x:c r="K3" s="2"/>
    </x:row>
    <x:row r="4" ht="38" customHeight="1">
      <x:c r="A4" s="71" t="str">
        <x:v>Lote</x:v>
      </x:c>
      <x:c r="B4" s="71" t="str">
        <x:v>Tamaño_planeado</x:v>
      </x:c>
      <x:c r="C4" s="71" t="str">
        <x:v>Fecha_recepción</x:v>
      </x:c>
      <x:c r="D4" s="71" t="str">
        <x:v>IDs_asignados</x:v>
      </x:c>
      <x:c r="E4" s="71" t="str">
        <x:v>Reportes_recibidos</x:v>
      </x:c>
      <x:c r="F4" s="71" t="str">
        <x:v>Evaluados</x:v>
      </x:c>
      <x:c r="G4" s="71" t="str">
        <x:v>Incluidos</x:v>
      </x:c>
      <x:c r="H4" s="71" t="str">
        <x:v>Excluidos</x:v>
      </x:c>
      <x:c r="I4" s="71" t="str">
        <x:v>Pendientes</x:v>
      </x:c>
      <x:c r="J4" s="71" t="str">
        <x:v>Estado</x:v>
      </x:c>
      <x:c r="K4" s="71" t="str">
        <x:v>Notas</x:v>
      </x:c>
    </x:row>
    <x:row r="5" ht="34" customHeight="1">
      <x:c r="A5" s="81" t="n">
        <x:v>1</x:v>
      </x:c>
      <x:c r="B5" s="81" t="n">
        <x:v>6</x:v>
      </x:c>
      <x:c r="C5" s="82" t="n">
        <x:v>46251.5</x:v>
      </x:c>
      <x:c r="D5" s="2" t="str">
        <x:v>008; 017; 018; 026; 027; 031</x:v>
      </x:c>
      <x:c r="E5" s="81" t="n">
        <x:v>6</x:v>
      </x:c>
      <x:c r="F5" s="81" t="n">
        <x:v>6</x:v>
      </x:c>
      <x:c r="G5" s="81" t="n">
        <x:v>4</x:v>
      </x:c>
      <x:c r="H5" s="81" t="n">
        <x:v>2</x:v>
      </x:c>
      <x:c r="I5" s="81" t="n">
        <x:f>E5-F5</x:f>
        <x:v>0</x:v>
      </x:c>
      <x:c r="J5" s="81" t="str">
        <x:v>Cerrado</x:v>
      </x:c>
      <x:c r="K5" s="2" t="str">
        <x:v>Primer lote de texto completo.</x:v>
      </x:c>
    </x:row>
    <x:row r="6" ht="34" customHeight="1">
      <x:c r="A6" s="81" t="n">
        <x:v>2</x:v>
      </x:c>
      <x:c r="B6" s="81" t="n">
        <x:v>6</x:v>
      </x:c>
      <x:c r="C6" s="82" t="n">
        <x:v>46251.5</x:v>
      </x:c>
      <x:c r="D6" s="2" t="str">
        <x:v>005; 010; 023; 028; 030; 034</x:v>
      </x:c>
      <x:c r="E6" s="81" t="n">
        <x:v>6</x:v>
      </x:c>
      <x:c r="F6" s="81" t="n">
        <x:v>6</x:v>
      </x:c>
      <x:c r="G6" s="81" t="n">
        <x:v>5</x:v>
      </x:c>
      <x:c r="H6" s="81" t="n">
        <x:v>1</x:v>
      </x:c>
      <x:c r="I6" s="81" t="n">
        <x:f>E6-F6</x:f>
        <x:v>0</x:v>
      </x:c>
      <x:c r="J6" s="81" t="str">
        <x:v>Cerrado</x:v>
      </x:c>
      <x:c r="K6" s="2" t="str">
        <x:v>Segundo lote de texto completo.</x:v>
      </x:c>
    </x:row>
    <x:row r="7" ht="34" customHeight="1">
      <x:c r="A7" s="81" t="n">
        <x:v>3</x:v>
      </x:c>
      <x:c r="B7" s="81" t="n">
        <x:v>6</x:v>
      </x:c>
      <x:c r="C7" s="82" t="n">
        <x:v>46251.5</x:v>
      </x:c>
      <x:c r="D7" s="2" t="str">
        <x:v>007; 022; 029; 033; 035; 036</x:v>
      </x:c>
      <x:c r="E7" s="81" t="n">
        <x:v>6</x:v>
      </x:c>
      <x:c r="F7" s="81" t="n">
        <x:v>6</x:v>
      </x:c>
      <x:c r="G7" s="81" t="n">
        <x:v>5</x:v>
      </x:c>
      <x:c r="H7" s="81" t="n">
        <x:v>1</x:v>
      </x:c>
      <x:c r="I7" s="81" t="n">
        <x:f>E7-F7</x:f>
        <x:v>0</x:v>
      </x:c>
      <x:c r="J7" s="81" t="str">
        <x:v>Cerrado</x:v>
      </x:c>
      <x:c r="K7" s="2" t="str">
        <x:v>Tercer lote de texto completo.</x:v>
      </x:c>
    </x:row>
    <x:row r="8" ht="34" customHeight="1">
      <x:c r="A8" s="81" t="n">
        <x:v>4</x:v>
      </x:c>
      <x:c r="B8" s="81" t="n">
        <x:v>6</x:v>
      </x:c>
      <x:c r="C8" s="82" t="n">
        <x:v>46251.5</x:v>
      </x:c>
      <x:c r="D8" s="2" t="str">
        <x:v>009; 011; 013; 019; 020; 024</x:v>
      </x:c>
      <x:c r="E8" s="81" t="n">
        <x:v>5</x:v>
      </x:c>
      <x:c r="F8" s="81" t="n">
        <x:v>5</x:v>
      </x:c>
      <x:c r="G8" s="81" t="n">
        <x:v>3</x:v>
      </x:c>
      <x:c r="H8" s="81" t="n">
        <x:v>2</x:v>
      </x:c>
      <x:c r="I8" s="81" t="n">
        <x:f>E8-F8</x:f>
        <x:v>0</x:v>
      </x:c>
      <x:c r="J8" s="81" t="str">
        <x:v>Cerrado</x:v>
      </x:c>
      <x:c r="K8" s="2" t="str">
        <x:v>Cinco textos válidos evaluados; el ID 020 se cerró como reporte no recuperado (E07).</x:v>
      </x:c>
    </x:row>
    <x:row r="9" ht="34" customHeight="1">
      <x:c r="A9" s="81" t="n">
        <x:v>5</x:v>
      </x:c>
      <x:c r="B9" s="81" t="n">
        <x:v>2</x:v>
      </x:c>
      <x:c r="C9" s="82" t="n">
        <x:v>46251.5</x:v>
      </x:c>
      <x:c r="D9" s="2" t="str">
        <x:v>006; 012</x:v>
      </x:c>
      <x:c r="E9" s="81" t="n">
        <x:v>2</x:v>
      </x:c>
      <x:c r="F9" s="81" t="n">
        <x:v>2</x:v>
      </x:c>
      <x:c r="G9" s="81" t="n">
        <x:v>2</x:v>
      </x:c>
      <x:c r="H9" s="81" t="n">
        <x:v>0</x:v>
      </x:c>
      <x:c r="I9" s="81" t="n">
        <x:f>E9-F9</x:f>
        <x:v>0</x:v>
      </x:c>
      <x:c r="J9" s="81" t="str">
        <x:v>Cerrado</x:v>
      </x:c>
      <x:c r="K9" s="2" t="str">
        <x:v>Lote final previsto: dos textos válidos evaluados e incluidos.</x:v>
      </x:c>
    </x:row>
    <x:row r="10">
      <x:c r="A10" s="2"/>
      <x:c r="B10" s="2"/>
      <x:c r="C10" s="2"/>
      <x:c r="D10" s="2"/>
      <x:c r="E10" s="2"/>
      <x:c r="F10" s="2"/>
      <x:c r="G10" s="2"/>
      <x:c r="H10" s="2"/>
      <x:c r="I10" s="2"/>
      <x:c r="J10" s="2"/>
      <x:c r="K10" s="2"/>
    </x:row>
    <x:row r="11">
      <x:c r="A11" s="84" t="str">
        <x:v>Total</x:v>
      </x:c>
      <x:c r="B11" s="84" t="n">
        <x:f>SUM('Lotes'!$B$5:$B$9)</x:f>
        <x:v>26</x:v>
      </x:c>
      <x:c r="C11" s="84" t="str"/>
      <x:c r="D11" s="84" t="str"/>
      <x:c r="E11" s="84" t="n">
        <x:f>SUM('Lotes'!$E$5:$E$9)</x:f>
        <x:v>25</x:v>
      </x:c>
      <x:c r="F11" s="84" t="n">
        <x:f>SUM('Lotes'!$F$5:$F$9)</x:f>
        <x:v>25</x:v>
      </x:c>
      <x:c r="G11" s="84" t="n">
        <x:f>SUM('Lotes'!$G$5:$G$9)</x:f>
        <x:v>19</x:v>
      </x:c>
      <x:c r="H11" s="84" t="n">
        <x:f>SUM('Lotes'!$H$5:$H$9)</x:f>
        <x:v>6</x:v>
      </x:c>
      <x:c r="I11" s="84" t="n">
        <x:f>SUM('Lotes'!$I$5:$I$9)</x:f>
        <x:v>0</x:v>
      </x:c>
      <x:c r="J11" s="84" t="str"/>
      <x:c r="K11" s="84" t="str">
        <x:v>Total de lotes: 26 candidatos asignados. El denominador completo de S2 es 32; seis no recuperados adicionales se registran fuera de lotes.</x:v>
      </x:c>
    </x:row>
  </x:sheetData>
  <x:mergeCells>
    <x:mergeCell ref="A1:K1"/>
    <x:mergeCell ref="A2:K2"/>
  </x:mergeCells>
  <x:conditionalFormatting sqref="J5:J9">
    <x:cfRule type="containsText" dxfId="6" priority="1" operator="containsText" text="Cerrado"/>
    <x:cfRule type="containsText" dxfId="7" priority="2" operator="containsText" text="Pendiente"/>
  </x:conditionalFormatting>
  <x:dataValidations count="1">
    <x:dataValidation type="list" sqref="J5:J9">
      <x:formula1>"Pendiente,En revisión,Cerrado"</x:formula1>
    </x:dataValidation>
  </x:dataValidations>
  <x:pageMargins left="0.7" right="0.7" top="0.75" bottom="0.75" header="0.3" footer="0.3"/>
  <x:tableParts count="1">
    <x:tablePart xmlns:r="http://schemas.openxmlformats.org/officeDocument/2006/relationships" r:id="Rd397bcc14aa44d8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58" hidden="0" customWidth="1"/>
    <x:col min="4" max="4" width="40" hidden="0" customWidth="1"/>
    <x:col min="5" max="5" width="8" hidden="0" customWidth="1"/>
    <x:col min="6" max="6" width="24" hidden="0" customWidth="1"/>
    <x:col min="7" max="7" width="15" hidden="0" customWidth="1"/>
    <x:col min="8" max="8" width="34" hidden="0" customWidth="1"/>
    <x:col min="9" max="9" width="20" hidden="0" customWidth="1"/>
    <x:col min="10" max="10" width="23" hidden="0" customWidth="1"/>
    <x:col min="11" max="11" width="25" hidden="0" customWidth="1"/>
  </x:cols>
  <x:sheetData>
    <x:row r="1" ht="34" customHeight="1">
      <x:c r="A1" s="7" t="str">
        <x:v>S2 — semillas de calibración</x:v>
      </x:c>
      <x:c r="B1" s="7" t="str">
        <x:v>S2 — semillas de calibración</x:v>
      </x:c>
      <x:c r="C1" s="7" t="str">
        <x:v>S2 — semillas de calibración</x:v>
      </x:c>
      <x:c r="D1" s="7" t="str">
        <x:v>S2 — semillas de calibración</x:v>
      </x:c>
      <x:c r="E1" s="7" t="str">
        <x:v>S2 — semillas de calibración</x:v>
      </x:c>
      <x:c r="F1" s="7" t="str">
        <x:v>S2 — semillas de calibración</x:v>
      </x:c>
      <x:c r="G1" s="7" t="str">
        <x:v>S2 — semillas de calibración</x:v>
      </x:c>
      <x:c r="H1" s="7" t="str">
        <x:v>S2 — semillas de calibración</x:v>
      </x:c>
      <x:c r="I1" s="7" t="str">
        <x:v>S2 — semillas de calibración</x:v>
      </x:c>
      <x:c r="J1" s="7" t="str">
        <x:v>S2 — semillas de calibración</x:v>
      </x:c>
      <x:c r="K1" s="7" t="str">
        <x:v>S2 — semillas de calibración</x:v>
      </x:c>
    </x:row>
    <x:row r="2" ht="30" customHeight="1">
      <x:c r="A2" s="12" t="str">
        <x:v>Las semillas 001–004 están recuperadas y se registran fuera del denominador de 32 candidatos.</x:v>
      </x:c>
      <x:c r="B2" s="12" t="str">
        <x:v>Las semillas 001–004 están recuperadas y se registran fuera del denominador de 32 candidatos.</x:v>
      </x:c>
      <x:c r="C2" s="12" t="str">
        <x:v>Las semillas 001–004 están recuperadas y se registran fuera del denominador de 32 candidatos.</x:v>
      </x:c>
      <x:c r="D2" s="12" t="str">
        <x:v>Las semillas 001–004 están recuperadas y se registran fuera del denominador de 32 candidatos.</x:v>
      </x:c>
      <x:c r="E2" s="12" t="str">
        <x:v>Las semillas 001–004 están recuperadas y se registran fuera del denominador de 32 candidatos.</x:v>
      </x:c>
      <x:c r="F2" s="12" t="str">
        <x:v>Las semillas 001–004 están recuperadas y se registran fuera del denominador de 32 candidatos.</x:v>
      </x:c>
      <x:c r="G2" s="12" t="str">
        <x:v>Las semillas 001–004 están recuperadas y se registran fuera del denominador de 32 candidatos.</x:v>
      </x:c>
      <x:c r="H2" s="12" t="str">
        <x:v>Las semillas 001–004 están recuperadas y se registran fuera del denominador de 32 candidatos.</x:v>
      </x:c>
      <x:c r="I2" s="12" t="str">
        <x:v>Las semillas 001–004 están recuperadas y se registran fuera del denominador de 32 candidatos.</x:v>
      </x:c>
      <x:c r="J2" s="12" t="str">
        <x:v>Las semillas 001–004 están recuperadas y se registran fuera del denominador de 32 candidatos.</x:v>
      </x:c>
      <x:c r="K2" s="12" t="str">
        <x:v>Las semillas 001–004 están recuperadas y se registran fuera del denominador de 32 candidatos.</x:v>
      </x:c>
    </x:row>
    <x:row r="3">
      <x:c r="A3" s="2"/>
      <x:c r="B3" s="2"/>
      <x:c r="C3" s="2"/>
      <x:c r="D3" s="2"/>
      <x:c r="E3" s="2"/>
      <x:c r="F3" s="2"/>
      <x:c r="G3" s="2"/>
      <x:c r="H3" s="2"/>
      <x:c r="I3" s="2"/>
      <x:c r="J3" s="2"/>
      <x:c r="K3" s="2"/>
    </x:row>
    <x:row r="4" ht="38" customHeight="1">
      <x:c r="A4" s="71" t="str">
        <x:v>ID_S2</x:v>
      </x:c>
      <x:c r="B4" s="71" t="str">
        <x:v>DOI</x:v>
      </x:c>
      <x:c r="C4" s="71" t="str">
        <x:v>Título</x:v>
      </x:c>
      <x:c r="D4" s="71" t="str">
        <x:v>Autores</x:v>
      </x:c>
      <x:c r="E4" s="71" t="str">
        <x:v>Año</x:v>
      </x:c>
      <x:c r="F4" s="71" t="str">
        <x:v>Fuente</x:v>
      </x:c>
      <x:c r="G4" s="71" t="str">
        <x:v>Recuperación</x:v>
      </x:c>
      <x:c r="H4" s="71" t="str">
        <x:v>Uso</x:v>
      </x:c>
      <x:c r="I4" s="71" t="str">
        <x:v>Interfaz_foco</x:v>
      </x:c>
      <x:c r="J4" s="71" t="str">
        <x:v>Estado_texto</x:v>
      </x:c>
      <x:c r="K4" s="71" t="str">
        <x:v>Conteo_corpus</x:v>
      </x:c>
    </x:row>
    <x:row r="5" ht="58" customHeight="1">
      <x:c r="A5" s="77" t="n">
        <x:v>1</x:v>
      </x:c>
      <x:c r="B5" s="78" t="str">
        <x:v>10.3390/s25082362</x:v>
      </x:c>
      <x:c r="C5" s="73" t="str">
        <x:v>Challenges and Solution Directions for the Integration of Smart Information Systems in the Agri-Food Sector</x:v>
      </x:c>
      <x:c r="D5" s="73" t="str">
        <x:v>Ahoa E.; Kassahun A.; Verdouw C.; Tekinerdogan B.</x:v>
      </x:c>
      <x:c r="E5" s="78" t="n">
        <x:v>2025</x:v>
      </x:c>
      <x:c r="F5" s="73" t="str">
        <x:v>Sensors</x:v>
      </x:c>
      <x:c r="G5" s="78" t="str">
        <x:v>Recuperada</x:v>
      </x:c>
      <x:c r="H5" s="78" t="str">
        <x:v>Integración y restricciones de sistemas inteligentes</x:v>
      </x:c>
      <x:c r="I5" s="78" t="str">
        <x:v>I23; I3M</x:v>
      </x:c>
      <x:c r="J5" s="78" t="str">
        <x:v>Texto completo disponible</x:v>
      </x:c>
      <x:c r="K5" s="78" t="str">
        <x:v>Separada; no incluida en 32</x:v>
      </x:c>
    </x:row>
    <x:row r="6" ht="58" customHeight="1">
      <x:c r="A6" s="77" t="n">
        <x:v>2</x:v>
      </x:c>
      <x:c r="B6" s="78" t="str">
        <x:v>10.3390/informatics13010014</x:v>
      </x:c>
      <x:c r="C6" s="73" t="str">
        <x:v>The Validation–Deployment Gap in Agricultural Information Systems: A Systematic Technology Readiness Assessment</x:v>
      </x:c>
      <x:c r="D6" s="73" t="str">
        <x:v>Arzuaga-Ochoa M.E.; Acosta-Coll M.; Barrios Barrios M.</x:v>
      </x:c>
      <x:c r="E6" s="78" t="n">
        <x:v>2026</x:v>
      </x:c>
      <x:c r="F6" s="73" t="str">
        <x:v>Informatics</x:v>
      </x:c>
      <x:c r="G6" s="78" t="str">
        <x:v>Recuperada</x:v>
      </x:c>
      <x:c r="H6" s="78" t="str">
        <x:v>Brecha validación–despliegue</x:v>
      </x:c>
      <x:c r="I6" s="78" t="str">
        <x:v>I23; I3M</x:v>
      </x:c>
      <x:c r="J6" s="78" t="str">
        <x:v>Texto completo disponible</x:v>
      </x:c>
      <x:c r="K6" s="78" t="str">
        <x:v>Separada; no incluida en 32</x:v>
      </x:c>
    </x:row>
    <x:row r="7" ht="58" customHeight="1">
      <x:c r="A7" s="77" t="n">
        <x:v>3</x:v>
      </x:c>
      <x:c r="B7" s="78" t="str">
        <x:v>10.3389/frobt.2022.914850</x:v>
      </x:c>
      <x:c r="C7" s="73" t="str">
        <x:v>Responsible robotics design–A systems approach to developing design guides for robotics in pasture-grazed dairy farming</x:v>
      </x:c>
      <x:c r="D7" s="73" t="str">
        <x:v>Eastwood C.R.; Dela Rue B.; Edwards J.P.; Jago J.</x:v>
      </x:c>
      <x:c r="E7" s="78" t="n">
        <x:v>2022</x:v>
      </x:c>
      <x:c r="F7" s="73" t="str">
        <x:v>Frontiers in Robotics and AI</x:v>
      </x:c>
      <x:c r="G7" s="78" t="str">
        <x:v>Recuperada</x:v>
      </x:c>
      <x:c r="H7" s="78" t="str">
        <x:v>Diseño responsable y enfoque sistémico</x:v>
      </x:c>
      <x:c r="I7" s="78" t="str">
        <x:v>I12; I23; I3M; IM1</x:v>
      </x:c>
      <x:c r="J7" s="78" t="str">
        <x:v>Texto completo disponible</x:v>
      </x:c>
      <x:c r="K7" s="78" t="str">
        <x:v>Separada; no incluida en 32</x:v>
      </x:c>
    </x:row>
    <x:row r="8" ht="58" customHeight="1">
      <x:c r="A8" s="77" t="n">
        <x:v>4</x:v>
      </x:c>
      <x:c r="B8" s="78" t="str">
        <x:v>10.3390/agriculture11121283</x:v>
      </x:c>
      <x:c r="C8" s="73" t="str">
        <x:v>Agritech innovators: A study of initial adoption and continued use of a mobile digital platform by family-operated farming enterprises</x:v>
      </x:c>
      <x:c r="D8" s="73" t="str">
        <x:v>Fox G.; Mooney J.; Rosati P.; Lynn T.</x:v>
      </x:c>
      <x:c r="E8" s="78" t="n">
        <x:v>2021</x:v>
      </x:c>
      <x:c r="F8" s="73" t="str">
        <x:v>Agriculture (Switzerland)</x:v>
      </x:c>
      <x:c r="G8" s="78" t="str">
        <x:v>Recuperada</x:v>
      </x:c>
      <x:c r="H8" s="78" t="str">
        <x:v>Adopción inicial y uso continuado</x:v>
      </x:c>
      <x:c r="I8" s="78" t="str">
        <x:v>I12; I3M; IM1</x:v>
      </x:c>
      <x:c r="J8" s="78" t="str">
        <x:v>Texto completo disponible</x:v>
      </x:c>
      <x:c r="K8" s="78" t="str">
        <x:v>Separada; no incluida en 32</x:v>
      </x:c>
    </x:row>
  </x:sheetData>
  <x:mergeCells>
    <x:mergeCell ref="A1:K1"/>
    <x:mergeCell ref="A2:K2"/>
  </x:mergeCells>
  <x:conditionalFormatting sqref="G5:G8">
    <x:cfRule type="containsText" dxfId="8" priority="1" operator="containsText" text="Recuperada"/>
  </x:conditionalFormatting>
  <x:pageMargins left="0.7" right="0.7" top="0.75" bottom="0.75" header="0.3" footer="0.3"/>
  <x:tableParts count="1">
    <x:tablePart xmlns:r="http://schemas.openxmlformats.org/officeDocument/2006/relationships" r:id="R81094dd5a75d4d1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28" hidden="0" customWidth="1"/>
    <x:col min="3" max="3" width="48" hidden="0" customWidth="1"/>
    <x:col min="4" max="4" width="24" hidden="0" customWidth="1"/>
    <x:col min="5" max="5" width="14" hidden="0" customWidth="1"/>
    <x:col min="6" max="6" width="31" hidden="0" customWidth="1"/>
    <x:col min="7" max="7" width="53" hidden="0" customWidth="1"/>
    <x:col min="8" max="8" width="27" hidden="0" customWidth="1"/>
  </x:cols>
  <x:sheetData>
    <x:row r="1" ht="34" customHeight="1">
      <x:c r="A1" s="7" t="str">
        <x:v>S2 — criterios y códigos de decisión</x:v>
      </x:c>
      <x:c r="B1" s="7" t="str">
        <x:v>S2 — criterios y códigos de decisión</x:v>
      </x:c>
      <x:c r="C1" s="7" t="str">
        <x:v>S2 — criterios y códigos de decisión</x:v>
      </x:c>
      <x:c r="D1" s="7" t="str">
        <x:v>S2 — criterios y códigos de decisión</x:v>
      </x:c>
      <x:c r="E1" s="7" t="str">
        <x:v>S2 — criterios y códigos de decisión</x:v>
      </x:c>
      <x:c r="F1" s="7" t="str">
        <x:v>S2 — criterios y códigos de decisión</x:v>
      </x:c>
      <x:c r="G1" s="7" t="str">
        <x:v>S2 — criterios y códigos de decisión</x:v>
      </x:c>
      <x:c r="H1" s="7" t="str">
        <x:v>S2 — criterios y códigos de decisión</x:v>
      </x:c>
    </x:row>
    <x:row r="2" ht="30" customHeight="1">
      <x:c r="A2" s="12" t="str">
        <x:v>Manual mínimo para mantener decisiones reproducibles durante el cribado de texto completo.</x:v>
      </x:c>
      <x:c r="B2" s="12" t="str">
        <x:v>Manual mínimo para mantener decisiones reproducibles durante el cribado de texto completo.</x:v>
      </x:c>
      <x:c r="C2" s="12" t="str">
        <x:v>Manual mínimo para mantener decisiones reproducibles durante el cribado de texto completo.</x:v>
      </x:c>
      <x:c r="D2" s="12" t="str">
        <x:v>Manual mínimo para mantener decisiones reproducibles durante el cribado de texto completo.</x:v>
      </x:c>
      <x:c r="E2" s="12" t="str">
        <x:v>Manual mínimo para mantener decisiones reproducibles durante el cribado de texto completo.</x:v>
      </x:c>
      <x:c r="F2" s="12" t="str">
        <x:v>Manual mínimo para mantener decisiones reproducibles durante el cribado de texto completo.</x:v>
      </x:c>
      <x:c r="G2" s="12" t="str">
        <x:v>Manual mínimo para mantener decisiones reproducibles durante el cribado de texto completo.</x:v>
      </x:c>
      <x:c r="H2" s="12" t="str">
        <x:v>Manual mínimo para mantener decisiones reproducibles durante el cribado de texto completo.</x:v>
      </x:c>
    </x:row>
    <x:row r="3">
      <x:c r="A3" s="2"/>
      <x:c r="B3" s="2"/>
      <x:c r="C3" s="2"/>
      <x:c r="D3" s="2"/>
      <x:c r="E3" s="2"/>
      <x:c r="F3" s="2"/>
      <x:c r="G3" s="2"/>
      <x:c r="H3" s="2"/>
    </x:row>
    <x:row r="4" ht="22" customHeight="1">
      <x:c r="A4" s="19" t="str">
        <x:v>Criterios de inclusión</x:v>
      </x:c>
      <x:c r="B4" s="35"/>
      <x:c r="C4" s="20"/>
      <x:c r="D4" s="2"/>
      <x:c r="E4" s="19" t="str">
        <x:v>Códigos de exclusión</x:v>
      </x:c>
      <x:c r="F4" s="35"/>
      <x:c r="G4" s="35"/>
      <x:c r="H4" s="20"/>
    </x:row>
    <x:row r="5" ht="36" customHeight="1">
      <x:c r="A5" s="87" t="str">
        <x:v>IC01</x:v>
      </x:c>
      <x:c r="B5" s="86" t="str">
        <x:v>Ámbito</x:v>
      </x:c>
      <x:c r="C5" s="86" t="str">
        <x:v>Agricultura, ganadería, acuicultura, riego u otra operación agroalimentaria pertinente.</x:v>
      </x:c>
      <x:c r="D5" s="2"/>
      <x:c r="E5" s="88" t="str">
        <x:v>E01</x:v>
      </x:c>
      <x:c r="F5" s="86" t="str">
        <x:v>Unidad de análisis incorrecta</x:v>
      </x:c>
      <x:c r="G5" s="86" t="str">
        <x:v>Perspectiva macro, regional o sectorial sin despliegue delimitado.</x:v>
      </x:c>
      <x:c r="H5" s="86" t="str">
        <x:v>Usado: ID 008; 035</x:v>
      </x:c>
    </x:row>
    <x:row r="6" ht="36" customHeight="1">
      <x:c r="A6" s="87" t="str">
        <x:v>IC02</x:v>
      </x:c>
      <x:c r="B6" s="86" t="str">
        <x:v>Tecnología</x:v>
      </x:c>
      <x:c r="C6" s="86" t="str">
        <x:v>Sistema digital, automatizado, robótico, sensórico, de decisión o de información.</x:v>
      </x:c>
      <x:c r="D6" s="2"/>
      <x:c r="E6" s="88" t="str">
        <x:v>E02</x:v>
      </x:c>
      <x:c r="F6" s="86" t="str">
        <x:v>Prototipo sin evidencia operacional suficiente</x:v>
      </x:c>
      <x:c r="G6" s="86" t="str">
        <x:v>Prueba técnica sin condiciones, continuidad o soporte evaluados de forma suficiente.</x:v>
      </x:c>
      <x:c r="H6" s="86" t="str">
        <x:v>Usado: ID 009; 017; 019; 023</x:v>
      </x:c>
    </x:row>
    <x:row r="7" ht="36" customHeight="1">
      <x:c r="A7" s="87" t="str">
        <x:v>IC03</x:v>
      </x:c>
      <x:c r="B7" s="86" t="str">
        <x:v>Despliegue</x:v>
      </x:c>
      <x:c r="C7" s="86" t="str">
        <x:v>Evidencia sobre implementación, validación situada, continuidad, barreras, soporte o aprendizaje.</x:v>
      </x:c>
      <x:c r="D7" s="2"/>
      <x:c r="E7" s="88" t="str">
        <x:v>E03</x:v>
      </x:c>
      <x:c r="F7" s="86" t="str">
        <x:v>Fuera de ámbito</x:v>
      </x:c>
      <x:c r="G7" s="86" t="str">
        <x:v>No corresponde al sector o a la clase de tecnología definida.</x:v>
      </x:c>
      <x:c r="H7" s="86" t="str">
        <x:v>Reservado</x:v>
      </x:c>
    </x:row>
    <x:row r="8" ht="36" customHeight="1">
      <x:c r="A8" s="87" t="str">
        <x:v>IC04</x:v>
      </x:c>
      <x:c r="B8" s="86" t="str">
        <x:v>Trazabilidad A³M</x:v>
      </x:c>
      <x:c r="C8" s="86" t="str">
        <x:v>El texto permite codificar al menos una interfaz I12, I23, I3M o IM1 con evidencia suficiente.</x:v>
      </x:c>
      <x:c r="D8" s="2"/>
      <x:c r="E8" s="88" t="str">
        <x:v>E04</x:v>
      </x:c>
      <x:c r="F8" s="86" t="str">
        <x:v>Sin evidencia de interfaces</x:v>
      </x:c>
      <x:c r="G8" s="86" t="str">
        <x:v>No permite examinar I12, I23, I3M o IM1.</x:v>
      </x:c>
      <x:c r="H8" s="86" t="str">
        <x:v>Reservado</x:v>
      </x:c>
    </x:row>
    <x:row r="9" ht="36" customHeight="1">
      <x:c r="A9" s="87" t="str">
        <x:v>IC05</x:v>
      </x:c>
      <x:c r="B9" s="86" t="str">
        <x:v>Suficiencia</x:v>
      </x:c>
      <x:c r="C9" s="86" t="str">
        <x:v>Texto completo elegible y evidencia metodológica suficiente para sustentar la interpretación.</x:v>
      </x:c>
      <x:c r="D9" s="2"/>
      <x:c r="E9" s="88" t="str">
        <x:v>E05</x:v>
      </x:c>
      <x:c r="F9" s="86" t="str">
        <x:v>Texto o método insuficiente</x:v>
      </x:c>
      <x:c r="G9" s="86" t="str">
        <x:v>Contenido incompleto o evidencia metodológica no apta para la síntesis.</x:v>
      </x:c>
      <x:c r="H9" s="86" t="str">
        <x:v>Reservado</x:v>
      </x:c>
    </x:row>
    <x:row r="10" ht="36" customHeight="1">
      <x:c r="A10" s="2"/>
      <x:c r="B10" s="2"/>
      <x:c r="C10" s="2"/>
      <x:c r="D10" s="2"/>
      <x:c r="E10" s="88" t="str">
        <x:v>E06</x:v>
      </x:c>
      <x:c r="F10" s="86" t="str">
        <x:v>Duplicado</x:v>
      </x:c>
      <x:c r="G10" s="86" t="str">
        <x:v>Mismo estudio o reporte ya representado por otra publicación.</x:v>
      </x:c>
      <x:c r="H10" s="86" t="str">
        <x:v>Reservado</x:v>
      </x:c>
    </x:row>
    <x:row r="11" ht="36" customHeight="1">
      <x:c r="A11" s="2"/>
      <x:c r="B11" s="2"/>
      <x:c r="C11" s="2"/>
      <x:c r="D11" s="2"/>
      <x:c r="E11" s="88" t="str">
        <x:v>E07</x:v>
      </x:c>
      <x:c r="F11" s="86" t="str">
        <x:v>Reporte no recuperado</x:v>
      </x:c>
      <x:c r="G11" s="86" t="str">
        <x:v>Debe registrarse en PRISMA; no es una exclusión tras lectura de texto completo.</x:v>
      </x:c>
      <x:c r="H11" s="86" t="str">
        <x:v>Usado: ID 020</x:v>
      </x:c>
    </x:row>
    <x:row r="12" ht="36" customHeight="1">
      <x:c r="A12" s="19" t="str">
        <x:v>Interfaces A³M</x:v>
      </x:c>
      <x:c r="B12" s="35"/>
      <x:c r="C12" s="35"/>
      <x:c r="D12" s="20"/>
      <x:c r="E12" s="2"/>
      <x:c r="F12" s="2"/>
      <x:c r="G12" s="2"/>
      <x:c r="H12" s="2"/>
    </x:row>
    <x:row r="13" ht="36" customHeight="1">
      <x:c r="A13" s="87" t="str">
        <x:v>I12</x:v>
      </x:c>
      <x:c r="B13" s="86" t="str">
        <x:v>Contexto → requisitos</x:v>
      </x:c>
      <x:c r="C13" s="86" t="str">
        <x:v>Condiciones del agroecosistema convertidas en requisitos y pruebas.</x:v>
      </x:c>
      <x:c r="D13" s="86" t="str">
        <x:v>A1 ↔ A2</x:v>
      </x:c>
      <x:c r="E13" s="19" t="str">
        <x:v>Convenciones de codificación</x:v>
      </x:c>
      <x:c r="F13" s="35"/>
      <x:c r="G13" s="35"/>
      <x:c r="H13" s="20"/>
    </x:row>
    <x:row r="14" ht="36" customHeight="1">
      <x:c r="A14" s="87" t="str">
        <x:v>I23</x:v>
      </x:c>
      <x:c r="B14" s="86" t="str">
        <x:v>Requisitos ↔ capacidades</x:v>
      </x:c>
      <x:c r="C14" s="86" t="str">
        <x:v>Criterios de aceptación vinculados con capacidades técnicas verificadas.</x:v>
      </x:c>
      <x:c r="D14" s="86" t="str">
        <x:v>A2 ↔ A3</x:v>
      </x:c>
      <x:c r="E14" s="89" t="str">
        <x:v>Sí</x:v>
      </x:c>
      <x:c r="F14" s="86" t="str">
        <x:v>Evidencia directa</x:v>
      </x:c>
      <x:c r="G14" s="86" t="str">
        <x:v>La interfaz está sustentada explícitamente.</x:v>
      </x:c>
      <x:c r="H14" s="86" t="str">
        <x:v>Codificable</x:v>
      </x:c>
    </x:row>
    <x:row r="15" ht="36" customHeight="1">
      <x:c r="A15" s="87" t="str">
        <x:v>I3M</x:v>
      </x:c>
      <x:c r="B15" s="86" t="str">
        <x:v>Dependencias ↔ recursos</x:v>
      </x:c>
      <x:c r="C15" s="86" t="str">
        <x:v>Dependencias técnicas respaldadas por recursos, responsables y soporte.</x:v>
      </x:c>
      <x:c r="D15" s="86" t="str">
        <x:v>A3 ↔ M</x:v>
      </x:c>
      <x:c r="E15" s="89" t="str">
        <x:v>Parcial</x:v>
      </x:c>
      <x:c r="F15" s="86" t="str">
        <x:v>Evidencia incompleta</x:v>
      </x:c>
      <x:c r="G15" s="86" t="str">
        <x:v>La relación aparece, pero falta parte de la trazabilidad.</x:v>
      </x:c>
      <x:c r="H15" s="86" t="str">
        <x:v>Codificable con cautela</x:v>
      </x:c>
    </x:row>
    <x:row r="16" ht="36" customHeight="1">
      <x:c r="A16" s="87" t="str">
        <x:v>IM1</x:v>
      </x:c>
      <x:c r="B16" s="86" t="str">
        <x:v>Experiencia → cambios</x:v>
      </x:c>
      <x:c r="C16" s="86" t="str">
        <x:v>Incidentes y experiencia transformados en acciones correctivas y aprendizaje.</x:v>
      </x:c>
      <x:c r="D16" s="86" t="str">
        <x:v>M ↔ A1</x:v>
      </x:c>
      <x:c r="E16" s="89" t="str">
        <x:v>No</x:v>
      </x:c>
      <x:c r="F16" s="86" t="str">
        <x:v>Sin evidencia pertinente</x:v>
      </x:c>
      <x:c r="G16" s="86" t="str">
        <x:v>La interfaz no se demuestra en el texto.</x:v>
      </x:c>
      <x:c r="H16" s="86" t="str">
        <x:v>No codificar</x:v>
      </x:c>
    </x:row>
    <x:row r="17" ht="36" customHeight="1">
      <x:c r="A17" s="2"/>
      <x:c r="B17" s="2"/>
      <x:c r="C17" s="2"/>
      <x:c r="D17" s="2"/>
      <x:c r="E17" s="89" t="str">
        <x:v>No evaluable</x:v>
      </x:c>
      <x:c r="F17" s="86" t="str">
        <x:v>Fuera de unidad</x:v>
      </x:c>
      <x:c r="G17" s="86" t="str">
        <x:v>La unidad o el diseño impiden evaluar la interfaz.</x:v>
      </x:c>
      <x:c r="H17" s="86" t="str">
        <x:v>No codificar</x:v>
      </x:c>
    </x:row>
    <x:row r="18" ht="36" customHeight="1">
      <x:c r="A18" s="2"/>
      <x:c r="B18" s="2"/>
      <x:c r="C18" s="2"/>
      <x:c r="D18" s="2"/>
      <x:c r="E18" s="89" t="str">
        <x:v>Pendiente</x:v>
      </x:c>
      <x:c r="F18" s="86" t="str">
        <x:v>Sin lectura completa</x:v>
      </x:c>
      <x:c r="G18" s="86" t="str">
        <x:v>Aún no se ha tomado una decisión.</x:v>
      </x:c>
      <x:c r="H18" s="86" t="str">
        <x:v>Actualizar después de revisar</x:v>
      </x:c>
    </x:row>
    <x:row r="19" ht="36" customHeight="1">
      <x:c r="A19" s="19" t="str">
        <x:v>Estados y decisiones</x:v>
      </x:c>
      <x:c r="B19" s="35"/>
      <x:c r="C19" s="35"/>
      <x:c r="D19" s="20"/>
      <x:c r="E19" s="2"/>
      <x:c r="F19" s="2"/>
      <x:c r="G19" s="2"/>
      <x:c r="H19" s="2"/>
    </x:row>
    <x:row r="20" ht="36" customHeight="1">
      <x:c r="A20" s="86" t="str">
        <x:v>Recuperación</x:v>
      </x:c>
      <x:c r="B20" s="86" t="str">
        <x:v>Recuperado</x:v>
      </x:c>
      <x:c r="C20" s="86" t="str">
        <x:v>PDF disponible y verificable.</x:v>
      </x:c>
      <x:c r="D20" s="86" t="str"/>
      <x:c r="E20" s="19" t="str">
        <x:v>Regla de denominadores</x:v>
      </x:c>
      <x:c r="F20" s="35"/>
      <x:c r="G20" s="35"/>
      <x:c r="H20" s="20"/>
    </x:row>
    <x:row r="21" ht="36" customHeight="1">
      <x:c r="A21" s="86" t="str">
        <x:v>Recuperación</x:v>
      </x:c>
      <x:c r="B21" s="86" t="str">
        <x:v>No recuperado</x:v>
      </x:c>
      <x:c r="C21" s="86" t="str">
        <x:v>Reporte buscado pero no obtenido.</x:v>
      </x:c>
      <x:c r="D21" s="86" t="str">
        <x:v>PRISMA: reporte no recuperado</x:v>
      </x:c>
      <x:c r="E21" s="86" t="str">
        <x:v>32 candidatos no semilla = denominador del cribado de texto completo de S2.</x:v>
      </x:c>
      <x:c r="F21" s="86"/>
      <x:c r="G21" s="86"/>
      <x:c r="H21" s="86"/>
    </x:row>
    <x:row r="22" ht="36" customHeight="1">
      <x:c r="A22" s="86" t="str">
        <x:v>Recuperación</x:v>
      </x:c>
      <x:c r="B22" s="86" t="str">
        <x:v>Por confirmar</x:v>
      </x:c>
      <x:c r="C22" s="86" t="str">
        <x:v>Identidad individual aún no conciliada con el conteo agregado.</x:v>
      </x:c>
      <x:c r="D22" s="86" t="str">
        <x:v>Estado transitorio</x:v>
      </x:c>
      <x:c r="E22" s="86" t="str">
        <x:v>4 semillas = conjunto separado de calibración; no se suman a los 32.</x:v>
      </x:c>
      <x:c r="F22" s="86"/>
      <x:c r="G22" s="86"/>
      <x:c r="H22" s="86"/>
    </x:row>
    <x:row r="23" ht="36" customHeight="1">
      <x:c r="A23" s="86" t="str">
        <x:v>Decisión</x:v>
      </x:c>
      <x:c r="B23" s="86" t="str">
        <x:v>Incluir</x:v>
      </x:c>
      <x:c r="C23" s="86" t="str">
        <x:v>Entra al corpus final de S2.</x:v>
      </x:c>
      <x:c r="D23" s="86" t="str"/>
      <x:c r="E23" s="86" t="str">
        <x:v>25 recuperados y 7 no recuperados = conteos finales conciliados de los 32 candidatos no semilla.</x:v>
      </x:c>
      <x:c r="F23" s="86"/>
      <x:c r="G23" s="86"/>
      <x:c r="H23" s="86"/>
    </x:row>
    <x:row r="24" ht="36" customHeight="1">
      <x:c r="A24" s="86" t="str">
        <x:v>Decisión</x:v>
      </x:c>
      <x:c r="B24" s="86" t="str">
        <x:v>Excluir</x:v>
      </x:c>
      <x:c r="C24" s="86" t="str">
        <x:v>No entra; requiere código y justificación explícitos.</x:v>
      </x:c>
      <x:c r="D24" s="86" t="str"/>
      <x:c r="E24" s="86" t="str">
        <x:v>Una exclusión de texto completo solo se registra después de leer el reporte.</x:v>
      </x:c>
      <x:c r="F24" s="86"/>
      <x:c r="G24" s="86"/>
      <x:c r="H24" s="86"/>
    </x:row>
    <x:row r="25" ht="36" customHeight="1">
      <x:c r="A25" s="86" t="str">
        <x:v>Decisión</x:v>
      </x:c>
      <x:c r="B25" s="86" t="str">
        <x:v>Pendiente</x:v>
      </x:c>
      <x:c r="C25" s="86" t="str">
        <x:v>Todavía no ha sido evaluado a texto completo.</x:v>
      </x:c>
      <x:c r="D25" s="86" t="str"/>
      <x:c r="E25" s="86" t="str">
        <x:v>Un reporte no recuperado se reporta aparte y no recibe motivo de exclusión por contenido.</x:v>
      </x:c>
      <x:c r="F25" s="86"/>
      <x:c r="G25" s="86"/>
      <x:c r="H25" s="86"/>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sheetData>
  <x:mergeCells>
    <x:mergeCell ref="A1:H1"/>
    <x:mergeCell ref="A2:H2"/>
    <x:mergeCell ref="A4:C4"/>
    <x:mergeCell ref="E4:H4"/>
    <x:mergeCell ref="A12:D12"/>
    <x:mergeCell ref="E13:H13"/>
    <x:mergeCell ref="A19:D19"/>
    <x:mergeCell ref="E20:H20"/>
    <x:mergeCell ref="E21:H21"/>
    <x:mergeCell ref="E22:H22"/>
    <x:mergeCell ref="E23:H23"/>
    <x:mergeCell ref="E24:H24"/>
    <x:mergeCell ref="E25:H25"/>
  </x:mergeCells>
  <x:pageMargins left="0.7" right="0.7" top="0.75" bottom="0.75" header="0.3" footer="0.3"/>
</x:worksheet>
</file>