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6c941f847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b64174cc6814d56"/>
    <x:sheet xmlns:r="http://schemas.openxmlformats.org/officeDocument/2006/relationships" name="Cribado_S1" sheetId="2" r:id="Rdb29500fe3344f4a"/>
    <x:sheet xmlns:r="http://schemas.openxmlformats.org/officeDocument/2006/relationships" name="Matriz_conceptual" sheetId="3" r:id="R701814105c6c42fa"/>
    <x:sheet xmlns:r="http://schemas.openxmlformats.org/officeDocument/2006/relationships" name="Lotes" sheetId="4" r:id="Ra6167f46b59c4211"/>
    <x:sheet xmlns:r="http://schemas.openxmlformats.org/officeDocument/2006/relationships" name="Criterios" sheetId="5" r:id="R73c2dc0d5ac54e94"/>
    <x:sheet xmlns:r="http://schemas.openxmlformats.org/officeDocument/2006/relationships" name="Verificacion_2026-08-18" sheetId="6" r:id="R22c95672fa634018"/>
    <x:sheet xmlns:r="http://schemas.openxmlformats.org/officeDocument/2006/relationships" name="Lote5_parcial_2026-08-18" sheetId="7" r:id="R2fa0823799724b71"/>
    <x:sheet xmlns:r="http://schemas.openxmlformats.org/officeDocument/2006/relationships" name="Cierre_S1_2026-08-18" sheetId="8" r:id="R48edc5a1b7fa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%"/>
    <x:numFmt numFmtId="203" formatCode="000"/>
    <x:numFmt numFmtId="204" formatCode="0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243447"/>
      <x:name val="Carlito"/>
    </x:font>
    <x:font>
      <x:b/>
      <x:sz val="11"/>
      <x:color rgb="FFFFFFFF"/>
      <x:name val="Carlito"/>
    </x:font>
    <x:font>
      <x:sz val="9"/>
      <x:color rgb="FF243447"/>
      <x:name val="Carlito"/>
    </x:font>
    <x:font>
      <x:b/>
      <x:sz val="9"/>
      <x:color rgb="FF0C6645"/>
      <x:name val="Carlito"/>
    </x:font>
    <x:font>
      <x:b/>
      <x:sz val="9"/>
      <x:color rgb="FFA61B1B"/>
      <x:name val="Carlito"/>
    </x:font>
    <x:font>
      <x:i/>
      <x:sz val="10"/>
      <x:color rgb="FF243447"/>
      <x:name val="Carlito"/>
    </x:font>
    <x:font>
      <x:sz val="9"/>
      <x:color rgb="FF5B6573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2F0"/>
      </x:patternFill>
    </x:fill>
    <x:fill>
      <x:patternFill patternType="solid">
        <x:fgColor rgb="FF147D75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  <x:fill>
      <x:patternFill patternType="solid">
        <x:fgColor rgb="FFD7F5E7"/>
      </x:patternFill>
    </x:fill>
    <x:fill>
      <x:patternFill patternType="solid">
        <x:fgColor rgb="FFFCE1E1"/>
      </x:patternFill>
    </x:fill>
    <x:fill>
      <x:patternFill patternType="solid">
        <x:fgColor rgb="FFFFFDF4"/>
      </x:patternFill>
    </x:fill>
    <x:fill>
      <x:patternFill patternType="solid">
        <x:fgColor rgb="FFEAF6FB"/>
      </x:patternFill>
    </x:fill>
    <x:fill>
      <x:patternFill patternType="solid">
        <x:fgColor rgb="FFFFFFFF"/>
      </x:patternFill>
    </x:fill>
    <x:fill>
      <x:patternFill patternType="solid">
        <x:fgColor rgb="FFC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D5DEE6"/>
      </x:left>
      <x:right style="thin">
        <x:color rgb="FFD5DEE6"/>
      </x:right>
      <x:top style="thin">
        <x:color rgb="FFD5DEE6"/>
      </x:top>
      <x:bottom style="thin">
        <x:color rgb="FFD5DEE6"/>
      </x:bottom>
    </x:border>
    <x:border>
      <x:left style="thin">
        <x:color rgb="FFE7D58A"/>
      </x:left>
      <x:top style="thin">
        <x:color rgb="FFE7D58A"/>
      </x:top>
    </x:border>
    <x:border>
      <x:top style="thin">
        <x:color rgb="FFE7D58A"/>
      </x:top>
    </x:border>
    <x:border>
      <x:right style="thin">
        <x:color rgb="FFE7D58A"/>
      </x:right>
      <x:top style="thin">
        <x:color rgb="FFE7D58A"/>
      </x:top>
    </x:border>
    <x:border>
      <x:left style="thin">
        <x:color rgb="FFE7D58A"/>
      </x:left>
    </x:border>
    <x:border>
      <x:right style="thin">
        <x:color rgb="FFE7D58A"/>
      </x:right>
    </x:border>
    <x:border>
      <x:left style="thin">
        <x:color rgb="FFE7D58A"/>
      </x:left>
      <x:bottom style="thin">
        <x:color rgb="FFE7D58A"/>
      </x:bottom>
    </x:border>
    <x:border>
      <x:bottom style="thin">
        <x:color rgb="FFE7D58A"/>
      </x:bottom>
    </x:border>
    <x:border>
      <x:right style="thin">
        <x:color rgb="FFE7D58A"/>
      </x:right>
      <x:bottom style="thin">
        <x:color rgb="FFE7D58A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201" fontId="4" fillId="5" borderId="0" xfId="0" applyNumberFormat="1" applyFont="1" applyFill="1" applyBorder="1" applyAlignment="1">
      <x:alignment vertical="top"/>
    </x:xf>
    <x:xf numFmtId="200" fontId="4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201" fontId="4" fillId="6" borderId="0" xfId="0" applyNumberFormat="1" applyFont="1" applyFill="1" applyBorder="1"/>
    <x:xf numFmtId="202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201" fontId="4" fillId="6" borderId="0" xfId="0" applyNumberFormat="1" applyFont="1" applyFill="1" applyBorder="1" applyAlignment="1">
      <x:alignment vertical="top"/>
    </x:xf>
    <x:xf numFmtId="202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202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202" fontId="4" fillId="6" borderId="1" xfId="0" applyNumberFormat="1" applyFont="1" applyFill="1" applyBorder="1" applyAlignment="1">
      <x:alignment vertical="top" wrapText="1"/>
    </x:xf>
    <x:xf numFmtId="201" fontId="4" fillId="7" borderId="1" xfId="0" applyNumberFormat="1" applyFont="1" applyFill="1" applyBorder="1" applyAlignment="1">
      <x:alignment vertical="top" wrapText="1"/>
    </x:xf>
    <x:xf numFmtId="201" fontId="5" fillId="7" borderId="1" xfId="0" applyNumberFormat="1" applyFont="1" applyFill="1" applyBorder="1" applyAlignment="1">
      <x:alignment vertical="top" wrapText="1"/>
    </x:xf>
    <x:xf numFmtId="201" fontId="4" fillId="8" borderId="1" xfId="0" applyNumberFormat="1" applyFont="1" applyFill="1" applyBorder="1" applyAlignment="1">
      <x:alignment vertical="top" wrapText="1"/>
    </x:xf>
    <x:xf numFmtId="201" fontId="6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203" fontId="4" fillId="10" borderId="1" xfId="0" applyNumberFormat="1" applyFont="1" applyFill="1" applyBorder="1" applyAlignment="1">
      <x:alignment vertical="top" wrapText="1"/>
    </x:xf>
    <x:xf numFmtId="203" fontId="4" fillId="11" borderId="1" xfId="0" applyNumberFormat="1" applyFont="1" applyFill="1" applyBorder="1" applyAlignment="1">
      <x:alignment vertical="top" wrapText="1"/>
    </x:xf>
    <x:xf numFmtId="204" fontId="4" fillId="10" borderId="1" xfId="0" applyNumberFormat="1" applyFont="1" applyFill="1" applyBorder="1" applyAlignment="1">
      <x:alignment vertical="top" wrapText="1"/>
    </x:xf>
    <x:xf numFmtId="204" fontId="4" fillId="11" borderId="1" xfId="0" applyNumberFormat="1" applyFont="1" applyFill="1" applyBorder="1" applyAlignment="1">
      <x:alignment vertical="top" wrapText="1"/>
    </x:xf>
    <x:xf numFmtId="200" fontId="4" fillId="10" borderId="1" xfId="0" applyNumberFormat="1" applyFont="1" applyFill="1" applyBorder="1" applyAlignment="1">
      <x:alignment vertical="top" wrapText="1"/>
    </x:xf>
    <x:xf numFmtId="200" fontId="4" fillId="11" borderId="1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  <x:xf numFmtId="200" fontId="4" fillId="12" borderId="1" xfId="0" applyNumberFormat="1" applyFont="1" applyFill="1" applyBorder="1" applyAlignment="1">
      <x:alignment vertical="top" wrapText="1"/>
    </x:xf>
    <x:xf numFmtId="204" fontId="4" fillId="1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center"/>
    </x:xf>
    <x:xf numFmtId="0" fontId="9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10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 applyAlignment="1">
      <x:alignment horizontal="center" wrapText="1"/>
    </x:xf>
    <x:xf numFmtId="0" fontId="11" fillId="1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3">
    <x:dxf>
      <x:font>
        <x:b/>
        <x:color rgb="FF0C6645"/>
      </x:font>
      <x:fill>
        <x:patternFill>
          <x:bgColor rgb="FFD7F5E7"/>
        </x:patternFill>
      </x:fill>
    </x:dxf>
    <x:dxf>
      <x:font>
        <x:b/>
        <x:color rgb="FFA61B1B"/>
      </x:font>
      <x:fill>
        <x:patternFill>
          <x:bgColor rgb="FFFCE1E1"/>
        </x:patternFill>
      </x:fill>
    </x:dxf>
    <x:dxf>
      <x:font>
        <x:color rgb="FF0C6645"/>
      </x:font>
      <x:fill>
        <x:patternFill>
          <x:bgColor rgb="FFD7F5E7"/>
        </x:patternFill>
      </x:fill>
    </x:dxf>
    <x:dxf>
      <x:font>
        <x:color rgb="FFA61B1B"/>
      </x:font>
      <x:fill>
        <x:patternFill>
          <x:bgColor rgb="FFFCE1E1"/>
        </x:patternFill>
      </x:fill>
    </x:dxf>
    <x:dxf>
      <x:fill>
        <x:patternFill>
          <x:bgColor rgb="FFFFF2CC"/>
        </x:patternFill>
      </x:fill>
    </x:dxf>
    <x:dxf>
      <x:font>
        <x:b/>
        <x:color rgb="FF0C6645"/>
      </x:font>
      <x:fill>
        <x:patternFill>
          <x:bgColor rgb="FFD7F5E7"/>
        </x:patternFill>
      </x:fill>
    </x:dxf>
    <x:dxf>
      <x:font>
        <x:b/>
        <x:color rgb="FFA61B1B"/>
      </x:font>
      <x:fill>
        <x:patternFill>
          <x:bgColor rgb="FFFCE1E1"/>
        </x:patternFill>
      </x:fill>
    </x:dxf>
    <x:dxf>
      <x:fill>
        <x:patternFill>
          <x:bgColor rgb="FFFFF2CC"/>
        </x:patternFill>
      </x:fill>
    </x:dxf>
    <x:dxf>
      <x:font>
        <x:color rgb="FF0C6645"/>
      </x:font>
      <x:fill>
        <x:patternFill>
          <x:bgColor rgb="FFD7F5E7"/>
        </x:patternFill>
      </x:fill>
    </x:dxf>
    <x:dxf>
      <x:fill>
        <x:patternFill>
          <x:bgColor rgb="FFFFF2CC"/>
        </x:patternFill>
      </x:fill>
    </x:dxf>
    <x:dxf>
      <x:font>
        <x:color rgb="FFA61B1B"/>
      </x:font>
      <x:fill>
        <x:patternFill>
          <x:bgColor rgb="FFFCE1E1"/>
        </x:patternFill>
      </x:fill>
    </x:dxf>
    <x:dxf>
      <x:font>
        <x:color rgb="FF0C6645"/>
      </x:font>
      <x:fill>
        <x:patternFill>
          <x:bgColor rgb="FFD7F5E7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6221748d54031" /><Relationship Type="http://schemas.openxmlformats.org/officeDocument/2006/relationships/theme" Target="/xl/theme/theme1.xml" Id="Rdd8545695f314cdc" /><Relationship Type="http://schemas.openxmlformats.org/officeDocument/2006/relationships/sharedStrings" Target="/xl/sharedStrings.xml" Id="R3efaa6ef1ec743d1" /><Relationship Type="http://schemas.openxmlformats.org/officeDocument/2006/relationships/worksheet" Target="/xl/worksheets/sheet1.xml" Id="Rbb64174cc6814d56" /><Relationship Type="http://schemas.openxmlformats.org/officeDocument/2006/relationships/worksheet" Target="/xl/worksheets/sheet2.xml" Id="Rdb29500fe3344f4a" /><Relationship Type="http://schemas.openxmlformats.org/officeDocument/2006/relationships/worksheet" Target="/xl/worksheets/sheet3.xml" Id="R701814105c6c42fa" /><Relationship Type="http://schemas.openxmlformats.org/officeDocument/2006/relationships/worksheet" Target="/xl/worksheets/sheet4.xml" Id="Ra6167f46b59c4211" /><Relationship Type="http://schemas.openxmlformats.org/officeDocument/2006/relationships/worksheet" Target="/xl/worksheets/sheet5.xml" Id="R73c2dc0d5ac54e94" /><Relationship Type="http://schemas.openxmlformats.org/officeDocument/2006/relationships/worksheet" Target="/xl/worksheets/sheet6.xml" Id="R22c95672fa634018" /><Relationship Type="http://schemas.openxmlformats.org/officeDocument/2006/relationships/worksheet" Target="/xl/worksheets/sheet7.xml" Id="R2fa0823799724b71" /><Relationship Type="http://schemas.openxmlformats.org/officeDocument/2006/relationships/worksheet" Target="/xl/worksheets/sheet8.xml" Id="R48edc5a1b7fa4f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  <x:col min="3" max="3" width="4" hidden="0" customWidth="1"/>
    <x:col min="4" max="4" width="41" hidden="0" customWidth="1"/>
    <x:col min="5" max="5" width="16" hidden="0" customWidth="1"/>
    <x:col min="6" max="6" width="4" hidden="0" customWidth="1"/>
    <x:col min="7" max="7" width="39" hidden="0" customWidth="1"/>
    <x:col min="8" max="8" width="22" hidden="0" customWidth="1"/>
  </x:cols>
  <x:sheetData>
    <x:row r="1" ht="36" customHeight="1">
      <x:c r="A1" s="3" t="str">
        <x:v>S1 — cribado de texto completo</x:v>
      </x:c>
    </x:row>
    <x:row r="2" ht="34" customHeight="1">
      <x:c r="A2" s="7" t="str">
        <x:v>Registro acumulativo de los 32 candidatos seleccionados para texto completo a partir de 140 registros de S1-Scopus-v1.0.</x:v>
      </x:c>
    </x:row>
    <x:row r="4" ht="26" customHeight="1">
      <x:c r="A4" s="10" t="str">
        <x:v>Parámetro</x:v>
      </x:c>
      <x:c r="B4" s="10" t="str">
        <x:v>Valor</x:v>
      </x:c>
      <x:c r="D4" s="10" t="str">
        <x:v>Flujo de texto completo</x:v>
      </x:c>
      <x:c r="E4" s="10" t="str">
        <x:v>Conteo</x:v>
      </x:c>
      <x:c r="G4" s="10" t="str">
        <x:v>Control de consistencia</x:v>
      </x:c>
      <x:c r="H4" s="10" t="str">
        <x:v>Resultado</x:v>
      </x:c>
    </x:row>
    <x:row r="5">
      <x:c r="A5" s="29" t="str">
        <x:v>Búsqueda</x:v>
      </x:c>
      <x:c r="B5" s="29" t="str">
        <x:v>S1-Scopus-v1.0</x:v>
      </x:c>
      <x:c r="D5" s="41" t="str">
        <x:v>Candidatos a texto completo</x:v>
      </x:c>
      <x:c r="E5" s="42" t="n">
        <x:f>'Resumen'!B8</x:f>
        <x:v>32</x:v>
      </x:c>
      <x:c r="G5" s="29" t="str">
        <x:v>Candidatos bibliográficos</x:v>
      </x:c>
      <x:c r="H5" s="30" t="n">
        <x:f>COUNTA('Cribado_S1'!$A$5:$A$36)</x:f>
        <x:v>32</x:v>
      </x:c>
    </x:row>
    <x:row r="6">
      <x:c r="A6" s="29" t="str">
        <x:v>Base de datos</x:v>
      </x:c>
      <x:c r="B6" s="29" t="str">
        <x:v>Scopus</x:v>
      </x:c>
      <x:c r="D6" s="41" t="str">
        <x:v>Recuperados identificados</x:v>
      </x:c>
      <x:c r="E6" s="42" t="n">
        <x:v>30</x:v>
      </x:c>
      <x:c r="G6" s="29" t="str">
        <x:v>Filas con estado de recuperación</x:v>
      </x:c>
      <x:c r="H6" s="30" t="n">
        <x:f>COUNTIF('Cribado_S1'!$K$5:$K$36,"Recuperado")+COUNTIF('Cribado_S1'!$K$5:$K$36,"No recuperado")+COUNTIF('Cribado_S1'!$K$5:$K$36,"Por confirmar")</x:f>
        <x:v>32</x:v>
      </x:c>
    </x:row>
    <x:row r="7">
      <x:c r="A7" s="29" t="str">
        <x:v>Registros cribados</x:v>
      </x:c>
      <x:c r="B7" s="30" t="n">
        <x:v>140</x:v>
      </x:c>
      <x:c r="D7" s="41" t="str">
        <x:v>No recuperados</x:v>
      </x:c>
      <x:c r="E7" s="42" t="n">
        <x:v>2</x:v>
      </x:c>
      <x:c r="G7" s="29" t="n">
        <x:v>30</x:v>
      </x:c>
      <x:c r="H7" s="30" t="n">
        <x:v>30</x:v>
      </x:c>
    </x:row>
    <x:row r="8">
      <x:c r="A8" s="29" t="str">
        <x:v>Candidatos a texto completo</x:v>
      </x:c>
      <x:c r="B8" s="30" t="n">
        <x:v>32</x:v>
      </x:c>
      <x:c r="D8" s="41" t="str">
        <x:v>Estado individual por confirmar</x:v>
      </x:c>
      <x:c r="E8" s="42" t="n">
        <x:v>0</x:v>
      </x:c>
      <x:c r="G8" s="29" t="str">
        <x:v>Balance de decisiones</x:v>
      </x:c>
      <x:c r="H8" s="30" t="n">
        <x:v>30</x:v>
      </x:c>
    </x:row>
    <x:row r="9">
      <x:c r="A9" s="29" t="str">
        <x:v>Clase A</x:v>
      </x:c>
      <x:c r="B9" s="30" t="n">
        <x:v>24</x:v>
      </x:c>
      <x:c r="D9" s="41" t="str">
        <x:v>Textos completos evaluados</x:v>
      </x:c>
      <x:c r="E9" s="42" t="n">
        <x:v>30</x:v>
      </x:c>
      <x:c r="G9" s="29" t="str">
        <x:v>Incluidos con matriz conceptual</x:v>
      </x:c>
      <x:c r="H9" s="30" t="n">
        <x:v>29</x:v>
      </x:c>
    </x:row>
    <x:row r="10">
      <x:c r="A10" s="29" t="str">
        <x:v>Clase B promovida</x:v>
      </x:c>
      <x:c r="B10" s="30" t="n">
        <x:v>8</x:v>
      </x:c>
      <x:c r="D10" s="41" t="str">
        <x:v>Recuperados pendientes de evaluación</x:v>
      </x:c>
      <x:c r="E10" s="42" t="n">
        <x:v>0</x:v>
      </x:c>
      <x:c r="G10" s="29" t="str">
        <x:v>PDF renombrados registrados</x:v>
      </x:c>
      <x:c r="H10" s="30" t="n">
        <x:v>29</x:v>
      </x:c>
    </x:row>
    <x:row r="11">
      <x:c r="A11" s="29" t="str">
        <x:v>Última actualización</x:v>
      </x:c>
      <x:c r="B11" s="31" t="n">
        <x:v>46252</x:v>
      </x:c>
      <x:c r="D11" s="41" t="str">
        <x:v>Incluidos</x:v>
      </x:c>
      <x:c r="E11" s="45" t="n">
        <x:v>29</x:v>
      </x:c>
      <x:c r="G11" s="29" t="str">
        <x:v>Registros de lote pendientes</x:v>
      </x:c>
      <x:c r="H11" s="30" t="n">
        <x:v>0</x:v>
      </x:c>
    </x:row>
    <x:row r="12">
      <x:c r="A12" s="29" t="str">
        <x:v>Versión</x:v>
      </x:c>
      <x:c r="B12" s="29" t="n">
        <x:v>1.6</x:v>
      </x:c>
      <x:c r="D12" s="41" t="str">
        <x:v>Excluidos</x:v>
      </x:c>
      <x:c r="E12" s="47" t="n">
        <x:v>1</x:v>
      </x:c>
      <x:c r="G12" s="29" t="str">
        <x:v>Estado general</x:v>
      </x:c>
      <x:c r="H12" s="29" t="str">
        <x:v>Consistente</x:v>
      </x:c>
    </x:row>
    <x:row r="13">
      <x:c r="D13" s="41" t="str">
        <x:v>Tasa de inclusión entre evaluados</x:v>
      </x:c>
      <x:c r="E13" s="43" t="n">
        <x:v>0.9666666666666667</x:v>
      </x:c>
    </x:row>
    <x:row r="14">
      <x:c r="D14" s="41" t="str">
        <x:v>Decisiones abiertas entre evaluados</x:v>
      </x:c>
      <x:c r="E14" s="42" t="n">
        <x:v>0</x:v>
      </x:c>
    </x:row>
    <x:row r="15">
      <x:c r="D15" s="41" t="str">
        <x:v>Lotes cerrados</x:v>
      </x:c>
      <x:c r="E15" s="42" t="n">
        <x:v>6</x:v>
      </x:c>
    </x:row>
    <x:row r="17">
      <x:c r="A17" t="str">
        <x:v>Notas metodológicas de los lotes 1–4 y verificación documental</x:v>
      </x:c>
    </x:row>
    <x:row r="18" ht="26" customHeight="1">
      <x:c r="A18" s="10" t="str">
        <x:v>Cierre S1 (18 de agosto de 2026): de 32 candidatos a texto completo, se recuperaron 30 y se evaluaron 30. El corpus final S1 contiene 29 fuentes incluidas y 1 exclusión a texto completo (ID 072, E05). Los ID 037 y 127 no pudieron recuperarse y se registran como E07; no se contabilizan como exclusiones después de lectura. Los ID 057 y 080 se incorporan como núcleos conceptuales por su aporte directo a la brecha validación–despliegue y a la traducción de contexto/requisitos en robótica agrícola.</x:v>
      </x:c>
      <x:c r="B18" s="10"/>
      <x:c r="C18" s="10"/>
      <x:c r="D18" s="10"/>
      <x:c r="E18" s="10"/>
      <x:c r="F18" s="10"/>
      <x:c r="G18" s="10"/>
      <x:c r="H18" s="10"/>
    </x:row>
    <x:row r="19" ht="34" customHeight="1">
      <x:c r="A19" s="52" t="str">
        <x:v>Los seis artículos del primer lote se incluyeron porque cada uno respalda al menos una afirmación conceptual específica o ayuda a delimitar adopción, madurez, integración o sostenibilidad. La inclusión no implica que todos aporten validación operacional: ID 053 y 068 ofrecen aplicaciones empíricas; ID 046 y 056 son marcos conceptuales no desplegados; ID 007 funciona principalmente como contraste de adopción; e ID 107 como evidencia secundaria contextual. Esta diferencia queda documentada en la Matriz_conceptual.</x:v>
      </x:c>
      <x:c r="B19" s="53"/>
      <x:c r="C19" s="53"/>
      <x:c r="D19" s="53"/>
      <x:c r="E19" s="53"/>
      <x:c r="F19" s="53"/>
      <x:c r="G19" s="53"/>
      <x:c r="H19" s="54"/>
    </x:row>
    <x:row r="20" ht="34" customHeight="1">
      <x:c r="A20" s="55"/>
      <x:c r="B20" s="51"/>
      <x:c r="C20" s="51"/>
      <x:c r="D20" s="51"/>
      <x:c r="E20" s="51"/>
      <x:c r="F20" s="51"/>
      <x:c r="G20" s="51"/>
      <x:c r="H20" s="56"/>
    </x:row>
    <x:row r="21" ht="34" customHeight="1">
      <x:c r="A21" s="57" t="str">
        <x:v>Estado final: 32 candidatos = 30 textos recuperados/evaluados + 2 reportes no recuperados (E07); 29 incluidos + 1 excluido (E05). Seis lotes cerrados.</x:v>
      </x:c>
      <x:c r="B21" s="58"/>
      <x:c r="C21" s="58"/>
      <x:c r="D21" s="58"/>
      <x:c r="E21" s="58"/>
      <x:c r="F21" s="58"/>
      <x:c r="G21" s="58"/>
      <x:c r="H21" s="59"/>
    </x:row>
    <x:row r="22">
      <x:c r="A22" t="str">
        <x:v>Verificación 2026-08-18: los cuatro PDFs recibidos coinciden bibliográficamente con ID 025, 083, 117 y 130 ya registrados en el lote 4.</x:v>
      </x:c>
    </x:row>
    <x:row r="23">
      <x:c r="A23" s="60" t="str">
        <x:v>Fuente del registro: scopus_export_Aug 12-2026_S1_final(1).csv y s1_fulltext_selection.json. Fecha de corte: 2026-08-17.</x:v>
      </x:c>
    </x:row>
  </x:sheetData>
  <x:mergeCells>
    <x:mergeCell ref="A1:H1"/>
    <x:mergeCell ref="A2:H2"/>
    <x:mergeCell ref="A18:H18"/>
    <x:mergeCell ref="A19:H21"/>
    <x:mergeCell ref="A23:H23"/>
    <x:mergeCell ref="A21:H21"/>
  </x:mergeCells>
  <x:conditionalFormatting sqref="H12:H12">
    <x:cfRule type="containsText" dxfId="0" priority="1" operator="containsText" text="Consistente"/>
    <x:cfRule type="containsText" dxfId="1" priority="2" operator="containsText" text="Revisar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1" hidden="0" customWidth="1"/>
    <x:col min="4" max="4" width="28" hidden="0" customWidth="1"/>
    <x:col min="5" max="5" width="8" hidden="0" customWidth="1"/>
    <x:col min="6" max="6" width="45" hidden="0" customWidth="1"/>
    <x:col min="7" max="7" width="24" hidden="0" customWidth="1"/>
    <x:col min="8" max="8" width="25" hidden="0" customWidth="1"/>
    <x:col min="9" max="9" width="32" hidden="0" customWidth="1"/>
    <x:col min="10" max="10" width="14" hidden="0" customWidth="1"/>
    <x:col min="11" max="11" width="14" hidden="0" customWidth="1"/>
    <x:col min="12" max="12" width="17" hidden="0" customWidth="1"/>
    <x:col min="13" max="13" width="12" hidden="0" customWidth="1"/>
    <x:col min="14" max="14" width="12" hidden="0" customWidth="1"/>
    <x:col min="15" max="15" width="48" hidden="0" customWidth="1"/>
    <x:col min="16" max="16" width="28" hidden="0" customWidth="1"/>
    <x:col min="17" max="17" width="16" hidden="0" customWidth="1"/>
    <x:col min="18" max="18" width="36" hidden="0" customWidth="1"/>
    <x:col min="19" max="19" width="40" hidden="0" customWidth="1"/>
    <x:col min="20" max="20" width="14" hidden="0" customWidth="1"/>
    <x:col min="21" max="21" width="22" hidden="0" customWidth="1"/>
    <x:col min="22" max="22" width="34" hidden="0" customWidth="1"/>
  </x:cols>
  <x:sheetData>
    <x:row r="1" ht="36" customHeight="1">
      <x:c r="A1" s="3" t="str">
        <x:v>S1 — decisiones de elegibilidad a texto completo</x:v>
      </x:c>
    </x:row>
    <x:row r="2" ht="34" customHeight="1">
      <x:c r="A2" s="7" t="str">
        <x:v>Una fila por candidato. Los registros pendientes conservan su estado; E07 se reserva para reportes que no puedan recuperarse y no se contabiliza como exclusión tras lectura.</x:v>
      </x:c>
    </x:row>
    <x:row r="4" ht="44" customHeight="1">
      <x:c r="A4" s="61" t="str">
        <x:v>ID_S1</x:v>
      </x:c>
      <x:c r="B4" s="61" t="str">
        <x:v>Clase_preselección</x:v>
      </x:c>
      <x:c r="C4" s="61" t="str">
        <x:v>EID</x:v>
      </x:c>
      <x:c r="D4" s="61" t="str">
        <x:v>Autores</x:v>
      </x:c>
      <x:c r="E4" s="61" t="str">
        <x:v>Año</x:v>
      </x:c>
      <x:c r="F4" s="61" t="str">
        <x:v>Título</x:v>
      </x:c>
      <x:c r="G4" s="61" t="str">
        <x:v>Fuente</x:v>
      </x:c>
      <x:c r="H4" s="61" t="str">
        <x:v>DOI</x:v>
      </x:c>
      <x:c r="I4" s="61" t="str">
        <x:v>Enlace_Scopus</x:v>
      </x:c>
      <x:c r="J4" s="61" t="str">
        <x:v>Tipo_documento</x:v>
      </x:c>
      <x:c r="K4" s="61" t="str">
        <x:v>Recuperación</x:v>
      </x:c>
      <x:c r="L4" s="61" t="str">
        <x:v>Estado_texto_completo</x:v>
      </x:c>
      <x:c r="M4" s="61" t="str">
        <x:v>Decisión</x:v>
      </x:c>
      <x:c r="N4" s="61" t="str">
        <x:v>Código_motivo</x:v>
      </x:c>
      <x:c r="O4" s="61" t="str">
        <x:v>Justificación_decisión</x:v>
      </x:c>
      <x:c r="P4" s="61" t="str">
        <x:v>Tipo_evidencia</x:v>
      </x:c>
      <x:c r="Q4" s="61" t="str">
        <x:v>Calidad_apreciativa</x:v>
      </x:c>
      <x:c r="R4" s="61" t="str">
        <x:v>Archivo_revisado</x:v>
      </x:c>
      <x:c r="S4" s="61" t="str">
        <x:v>PDF_final_renombrado</x:v>
      </x:c>
      <x:c r="T4" s="61" t="str">
        <x:v>Fecha_evaluación</x:v>
      </x:c>
      <x:c r="U4" s="61" t="str">
        <x:v>Revisor</x:v>
      </x:c>
      <x:c r="V4" s="61" t="str">
        <x:v>Observaciones</x:v>
      </x:c>
    </x:row>
    <x:row r="5">
      <x:c r="A5" s="68" t="n">
        <x:v>7</x:v>
      </x:c>
      <x:c r="B5" s="66" t="str">
        <x:v>A</x:v>
      </x:c>
      <x:c r="C5" s="66" t="str">
        <x:v>2-s2.0-105015987423</x:v>
      </x:c>
      <x:c r="D5" s="66" t="str">
        <x:v>Sekele M.S.; Lavhengwa T.J.; van Wyk E.</x:v>
      </x:c>
      <x:c r="E5" s="70" t="n">
        <x:v>2025</x:v>
      </x:c>
      <x:c r="F5" s="66" t="str">
        <x:v>An internet of things adoption framework for the South African farming industry</x:v>
      </x:c>
      <x:c r="G5" s="66" t="str">
        <x:v>Issues in Information Systems</x:v>
      </x:c>
      <x:c r="H5" s="66" t="str">
        <x:v>10.48009/4_iis_2025_129</x:v>
      </x:c>
      <x:c r="I5" s="66" t="str">
        <x:v>https://www.scopus.com/pages/publications/105015987423?origin=resultslist</x:v>
      </x:c>
      <x:c r="J5" s="66" t="str">
        <x:v>Article</x:v>
      </x:c>
      <x:c r="K5" s="66" t="str">
        <x:v>Recuperado</x:v>
      </x:c>
      <x:c r="L5" s="66" t="str">
        <x:v>Evaluado</x:v>
      </x:c>
      <x:c r="M5" s="66" t="str">
        <x:v>Incluir</x:v>
      </x:c>
      <x:c r="N5" s="66" t="str"/>
      <x:c r="O5" s="66" t="str">
        <x:v>Incluido como contraste conceptual reciente: define factores contextuales que condicionan la adopción de IoT en agricultura sudafricana y ayuda a separar adopción de integración operacional sostenida.</x:v>
      </x:c>
      <x:c r="P5" s="66" t="str">
        <x:v>Revisión de alcance PRISMA-ScR y framework conceptual</x:v>
      </x:c>
      <x:c r="Q5" s="66" t="str">
        <x:v>Moderada-baja</x:v>
      </x:c>
      <x:c r="R5" s="66" t="str">
        <x:v>An internet of things adoption framework for the South African.pdf</x:v>
      </x:c>
      <x:c r="S5" s="66" t="str">
        <x:v>S1_SCOPUS_ID007_IoT_Adoption_Framework_South_African_Farming.pdf</x:v>
      </x:c>
      <x:c r="T5" s="72" t="n">
        <x:v>46251</x:v>
      </x:c>
      <x:c r="U5" s="66" t="str">
        <x:v>Codex (revisión asistida)</x:v>
      </x:c>
      <x:c r="V5" s="66" t="str">
        <x:v>Lote 1 cerrado.</x:v>
      </x:c>
    </x:row>
    <x:row r="6">
      <x:c r="A6" s="69" t="n">
        <x:v>9</x:v>
      </x:c>
      <x:c r="B6" s="67" t="str">
        <x:v>A</x:v>
      </x:c>
      <x:c r="C6" s="67" t="str">
        <x:v>2-s2.0-105004018850</x:v>
      </x:c>
      <x:c r="D6" s="67" t="str">
        <x:v>Zheng Y.; Liao F.; Tian M.</x:v>
      </x:c>
      <x:c r="E6" s="71" t="n">
        <x:v>2025</x:v>
      </x:c>
      <x:c r="F6" s="67" t="str">
        <x:v>Examining the factors influencing the digital transformation of new agricultural operating entities: insights from Zhejiang, China</x:v>
      </x:c>
      <x:c r="G6" s="67" t="str">
        <x:v>Humanities and Social Sciences Communications</x:v>
      </x:c>
      <x:c r="H6" s="67" t="str">
        <x:v>10.1057/s41599-025-04949-y</x:v>
      </x:c>
      <x:c r="I6" s="67" t="str">
        <x:v>https://www.scopus.com/pages/publications/105004018850?origin=resultslist</x:v>
      </x:c>
      <x:c r="J6" s="67" t="str">
        <x:v>Article</x:v>
      </x:c>
      <x:c r="K6" s="67" t="str">
        <x:v>Recuperado</x:v>
      </x:c>
      <x:c r="L6" s="67" t="str">
        <x:v>Evaluado</x:v>
      </x:c>
      <x:c r="M6" s="67" t="str">
        <x:v>Incluir</x:v>
      </x:c>
      <x:c r="N6" s="67"/>
      <x:c r="O6" s="67" t="str">
        <x:v>Incluido como evidencia configuracional: en 40 nuevas entidades agrícolas de Zhejiang identifica combinaciones de capacidad digital directiva, aprendizaje organizacional, apoyo gubernamental, recursos y presión del entorno asociadas con distintos niveles de transformación digital.</x:v>
      </x:c>
      <x:c r="P6" s="67" t="str">
        <x:v>Estudio multicaso, entrevistas, cuestionarios y fsQCA</x:v>
      </x:c>
      <x:c r="Q6" s="67" t="str">
        <x:v>Alta</x:v>
      </x:c>
      <x:c r="R6" s="67" t="str">
        <x:v>Examining the factors influencing the digital transformation of new agricultural operating entities insights from Zhejiang, China.pdf</x:v>
      </x:c>
      <x:c r="S6" s="67" t="str">
        <x:v>S1_SCOPUS_ID009_Digital_Transformation_NAOEs_Zhejiang.pdf</x:v>
      </x:c>
      <x:c r="T6" s="73" t="n">
        <x:v>46251</x:v>
      </x:c>
      <x:c r="U6" s="67" t="str">
        <x:v>Codex (revisión asistida)</x:v>
      </x:c>
      <x:c r="V6" s="67" t="str">
        <x:v>Lote 3 cerrado.</x:v>
      </x:c>
    </x:row>
    <x:row r="7">
      <x:c r="A7" s="68" t="n">
        <x:v>12</x:v>
      </x:c>
      <x:c r="B7" s="66" t="str">
        <x:v>B</x:v>
      </x:c>
      <x:c r="C7" s="66" t="str">
        <x:v>2-s2.0-105041728595</x:v>
      </x:c>
      <x:c r="D7" s="66" t="str">
        <x:v>Zheng Y.; Dou X.; Wang X.</x:v>
      </x:c>
      <x:c r="E7" s="70" t="n">
        <x:v>2026</x:v>
      </x:c>
      <x:c r="F7" s="66" t="str">
        <x:v>What drives the digital transformation of farmers’ cooperatives? An empirical analysis based on the TOE framework</x:v>
      </x:c>
      <x:c r="G7" s="66" t="str">
        <x:v>Agricultural and Food Economics</x:v>
      </x:c>
      <x:c r="H7" s="66" t="str">
        <x:v>10.1186/s40100-026-00453-2</x:v>
      </x:c>
      <x:c r="I7" s="66" t="str">
        <x:v>https://www.scopus.com/pages/publications/105041728595?origin=resultslist</x:v>
      </x:c>
      <x:c r="J7" s="66" t="str">
        <x:v>Article</x:v>
      </x:c>
      <x:c r="K7" s="66" t="str">
        <x:v>Recuperado</x:v>
      </x:c>
      <x:c r="L7" s="66" t="str">
        <x:v>Evaluado</x:v>
      </x:c>
      <x:c r="M7" s="66" t="str">
        <x:v>Incluir</x:v>
      </x:c>
      <x:c r="N7" s="66"/>
      <x:c r="O7" s="66" t="str">
        <x:v>Incluido como contraste empírico-dinámico: integra tecnología, organización y entorno en un modelo TOE con dinámica de sistemas calibrado con datos de cooperativas, y muestra que infraestructura, compatibilidad, capacidad decisoria, talento, mercado y política interactúan. Su resultado sigue siendo una tasa de adopción simulada, no continuidad operacional verificada.</x:v>
      </x:c>
      <x:c r="P7" s="66" t="str">
        <x:v>TOE + dinámica de sistemas; 93 cuestionarios válidos, 37 entrevistas y evaluación experta</x:v>
      </x:c>
      <x:c r="Q7" s="66" t="str">
        <x:v>Moderada</x:v>
      </x:c>
      <x:c r="R7" s="66" t="str">
        <x:v>What drives the digital transformation of farmers cooperatives An empirical analysis based on the TOE framework.pdf</x:v>
      </x:c>
      <x:c r="S7" s="66" t="str">
        <x:v>S1_SCOPUS_ID012_TOE_Digital_Transformation_Farmers_Cooperatives.pdf</x:v>
      </x:c>
      <x:c r="T7" s="72" t="n">
        <x:v>46252</x:v>
      </x:c>
      <x:c r="U7" s="66" t="str">
        <x:v>Codex (revisión asistida)</x:v>
      </x:c>
      <x:c r="V7" s="66" t="str">
        <x:v>Lote 5 en curso. Incluido como contexto empírico y contraste dinámico; no interpretar la tasa de adopción simulada como integración sostenida.</x:v>
      </x:c>
    </x:row>
    <x:row r="8">
      <x:c r="A8" s="69" t="n">
        <x:v>14</x:v>
      </x:c>
      <x:c r="B8" s="67" t="str">
        <x:v>A</x:v>
      </x:c>
      <x:c r="C8" s="67" t="str">
        <x:v>2-s2.0-85122269198</x:v>
      </x:c>
      <x:c r="D8" s="67" t="str">
        <x:v>Reina-Usuga L.; Parra-López C.; Carmona-Torres C.</x:v>
      </x:c>
      <x:c r="E8" s="71" t="n">
        <x:v>2022</x:v>
      </x:c>
      <x:c r="F8" s="67" t="str">
        <x:v>Knowledge Transfer on Digital Transformation: An Analysis of the Olive Landscape in Andalusia, Spain</x:v>
      </x:c>
      <x:c r="G8" s="67" t="str">
        <x:v>Land</x:v>
      </x:c>
      <x:c r="H8" s="67" t="str">
        <x:v>10.3390/land11010063</x:v>
      </x:c>
      <x:c r="I8" s="67" t="str">
        <x:v>https://www.scopus.com/pages/publications/85122269198?origin=resultslist</x:v>
      </x:c>
      <x:c r="J8" s="67" t="str">
        <x:v>Article</x:v>
      </x:c>
      <x:c r="K8" s="67" t="str">
        <x:v>Recuperado</x:v>
      </x:c>
      <x:c r="L8" s="67" t="str">
        <x:v>Evaluado</x:v>
      </x:c>
      <x:c r="M8" s="67" t="str">
        <x:v>Incluir</x:v>
      </x:c>
      <x:c r="N8" s="67"/>
      <x:c r="O8" s="67" t="str">
        <x:v>Incluido como evidencia relacional del sistema olivarero andaluz: identifica una transferencia de conocimiento medio-baja, conexiones insuficientes entre generadores, empresas TIC y usuarios, y la necesidad de retroalimentación bidireccional para convertir experiencia de campo en innovación.</x:v>
      </x:c>
      <x:c r="P8" s="67" t="str">
        <x:v>Análisis de red social, AHP y entrevistas con 14 especialistas</x:v>
      </x:c>
      <x:c r="Q8" s="67" t="str">
        <x:v>Moderada</x:v>
      </x:c>
      <x:c r="R8" s="67" t="str">
        <x:v>Knowledge Transfer on Digital Transformation An Analysis of the Olive Landscape in Andalusia, Spain.pdf</x:v>
      </x:c>
      <x:c r="S8" s="67" t="str">
        <x:v>S1_SCOPUS_ID014_Knowledge_Transfer_Olive_Andalusia.pdf</x:v>
      </x:c>
      <x:c r="T8" s="73" t="n">
        <x:v>46251</x:v>
      </x:c>
      <x:c r="U8" s="67" t="str">
        <x:v>Codex (revisión asistida)</x:v>
      </x:c>
      <x:c r="V8" s="67" t="str">
        <x:v>Lote 4 cerrado.</x:v>
      </x:c>
    </x:row>
    <x:row r="9">
      <x:c r="A9" s="68" t="n">
        <x:v>15</x:v>
      </x:c>
      <x:c r="B9" s="66" t="str">
        <x:v>A</x:v>
      </x:c>
      <x:c r="C9" s="66" t="str">
        <x:v>2-s2.0-105022908051</x:v>
      </x:c>
      <x:c r="D9" s="66" t="str">
        <x:v>Schmidt D.; Oelker S.; Engbers H.; Frazzon E.M.; Sellitto M.A.</x:v>
      </x:c>
      <x:c r="E9" s="70" t="n">
        <x:v>2025</x:v>
      </x:c>
      <x:c r="F9" s="66" t="str">
        <x:v>Digital Transformation in Grain Engineering and Post-Harvest Activities: A Case Study and Maturity Model Proposition</x:v>
      </x:c>
      <x:c r="G9" s="66" t="str">
        <x:v>AgriEngineering</x:v>
      </x:c>
      <x:c r="H9" s="66" t="str">
        <x:v>10.3390/agriengineering7110391</x:v>
      </x:c>
      <x:c r="I9" s="66" t="str">
        <x:v>https://www.scopus.com/pages/publications/105022908051?origin=resultslist</x:v>
      </x:c>
      <x:c r="J9" s="66" t="str">
        <x:v>Article</x:v>
      </x:c>
      <x:c r="K9" s="66" t="str">
        <x:v>Recuperado</x:v>
      </x:c>
      <x:c r="L9" s="66" t="str">
        <x:v>Evaluado</x:v>
      </x:c>
      <x:c r="M9" s="66" t="str">
        <x:v>Incluir</x:v>
      </x:c>
      <x:c r="N9" s="66"/>
      <x:c r="O9" s="66" t="str">
        <x:v>Incluido como caso organizacional longitudinal: reconstruye diez años de transformación digital poscosecha y vincula estandarización, interoperabilidad, formación, soporte, mantenimiento y capacidad analítica con una trayectoria de madurez.</x:v>
      </x:c>
      <x:c r="P9" s="66" t="str">
        <x:v>Estudio de caso longitudinal y propuesta de modelo de madurez</x:v>
      </x:c>
      <x:c r="Q9" s="66" t="str">
        <x:v>Alta</x:v>
      </x:c>
      <x:c r="R9" s="66" t="str">
        <x:v>Digital Transformation in Grain Engineering and Post-Harvest Activities A Case Study and Maturity Model Proposition.pdf</x:v>
      </x:c>
      <x:c r="S9" s="66" t="str">
        <x:v>S1_SCOPUS_ID015_Digital_Transformation_Grain_Post_Harvest.pdf</x:v>
      </x:c>
      <x:c r="T9" s="72" t="n">
        <x:v>46251</x:v>
      </x:c>
      <x:c r="U9" s="66" t="str">
        <x:v>Codex (revisión asistida)</x:v>
      </x:c>
      <x:c r="V9" s="66" t="str">
        <x:v>Lote 2 cerrado.</x:v>
      </x:c>
    </x:row>
    <x:row r="10">
      <x:c r="A10" s="69" t="n">
        <x:v>19</x:v>
      </x:c>
      <x:c r="B10" s="67" t="str">
        <x:v>A</x:v>
      </x:c>
      <x:c r="C10" s="67" t="str">
        <x:v>2-s2.0-85165535228</x:v>
      </x:c>
      <x:c r="D10" s="67" t="str">
        <x:v>Ye H.; Wang Y.; Zhang Y.; Hu X.; Wei C.; Zhao W.; Li X.</x:v>
      </x:c>
      <x:c r="E10" s="71" t="n">
        <x:v>2023</x:v>
      </x:c>
      <x:c r="F10" s="67" t="str">
        <x:v>Digital transformation of agriculture: A new integrated modeling framework for arable farm enterprises</x:v>
      </x:c>
      <x:c r="G10" s="67" t="str">
        <x:v>Computers and Electronics in Agriculture</x:v>
      </x:c>
      <x:c r="H10" s="67" t="str">
        <x:v>10.1016/j.compag.2023.108041</x:v>
      </x:c>
      <x:c r="I10" s="67" t="str">
        <x:v>https://www.scopus.com/pages/publications/85165535228?origin=resultslist</x:v>
      </x:c>
      <x:c r="J10" s="67" t="str">
        <x:v>Article</x:v>
      </x:c>
      <x:c r="K10" s="67" t="str">
        <x:v>Recuperado</x:v>
      </x:c>
      <x:c r="L10" s="67" t="str">
        <x:v>Evaluado</x:v>
      </x:c>
      <x:c r="M10" s="67" t="str">
        <x:v>Incluir</x:v>
      </x:c>
      <x:c r="N10" s="67"/>
      <x:c r="O10" s="67" t="str">
        <x:v>Incluido como fuente metodológica central: propone un framework integrado de modelado empresarial, lo aplica en tres explotaciones arables y conecta requisitos, recursos, organización, funciones, información, procesos, servicios y ciclos de mejora.</x:v>
      </x:c>
      <x:c r="P10" s="67" t="str">
        <x:v>Desarrollo de framework y aplicación multicaso de modelado empresarial</x:v>
      </x:c>
      <x:c r="Q10" s="67" t="str">
        <x:v>Alta</x:v>
      </x:c>
      <x:c r="R10" s="67" t="str">
        <x:v>Digital transformation of agriculture A new integrated modeling.pdf</x:v>
      </x:c>
      <x:c r="S10" s="67" t="str">
        <x:v>S1_SCOPUS_ID019_Integrated_Modeling_Arable_Farm_Enterprises.pdf</x:v>
      </x:c>
      <x:c r="T10" s="73" t="n">
        <x:v>46251</x:v>
      </x:c>
      <x:c r="U10" s="67" t="str">
        <x:v>Codex (revisión asistida)</x:v>
      </x:c>
      <x:c r="V10" s="67" t="str">
        <x:v>Lote 2 cerrado.</x:v>
      </x:c>
    </x:row>
    <x:row r="11">
      <x:c r="A11" s="68" t="n">
        <x:v>22</x:v>
      </x:c>
      <x:c r="B11" s="66" t="str">
        <x:v>B</x:v>
      </x:c>
      <x:c r="C11" s="66" t="str">
        <x:v>2-s2.0-85143971728</x:v>
      </x:c>
      <x:c r="D11" s="66" t="str">
        <x:v>Dissanayake C.A.K.; Jayathilake W.; Wickramasuriya H.V.A.; Dissanayake U.; Kopiyawattage K.P.P.; Wasala W.M.C.B.</x:v>
      </x:c>
      <x:c r="E11" s="70" t="n">
        <x:v>2022</x:v>
      </x:c>
      <x:c r="F11" s="66" t="str">
        <x:v>Theories and Models of Technology Adoption in Agricultural Sector</x:v>
      </x:c>
      <x:c r="G11" s="66" t="str">
        <x:v>Human Behavior and Emerging Technologies</x:v>
      </x:c>
      <x:c r="H11" s="66" t="str">
        <x:v>10.1155/2022/9258317</x:v>
      </x:c>
      <x:c r="I11" s="66" t="str">
        <x:v>https://www.scopus.com/pages/publications/85143971728?origin=resultslist</x:v>
      </x:c>
      <x:c r="J11" s="66" t="str">
        <x:v>Review</x:v>
      </x:c>
      <x:c r="K11" s="66" t="str">
        <x:v>Recuperado</x:v>
      </x:c>
      <x:c r="L11" s="66" t="str">
        <x:v>Evaluado</x:v>
      </x:c>
      <x:c r="M11" s="66" t="str">
        <x:v>Incluir</x:v>
      </x:c>
      <x:c r="N11" s="66"/>
      <x:c r="O11" s="66" t="str">
        <x:v>Incluido como contraste conceptual reciente: sintetiza TAM, TPB, TTF, UTAUT, difusión y otros modelos agrícolas, y reconoce explícitamente que muchos enfoques se detienen en la adopción mientras la continuación o discontinuación del uso sigue siendo relevante. Ayuda a delimitar con precisión qué añade A³M más allá de aceptación y adopción.</x:v>
      </x:c>
      <x:c r="P11" s="66" t="str">
        <x:v>Revisión narrativa y compilación comparativa de teorías y modelos de adopción agrícola</x:v>
      </x:c>
      <x:c r="Q11" s="66" t="str">
        <x:v>Moderada-baja</x:v>
      </x:c>
      <x:c r="R11" s="66" t="str">
        <x:v>Theories and Models of Technology Adoption in Agricultural.pdf</x:v>
      </x:c>
      <x:c r="S11" s="66" t="str">
        <x:v>S1_SCOPUS_ID022_Technology_Adoption_Theories_Agriculture.pdf</x:v>
      </x:c>
      <x:c r="T11" s="72" t="n">
        <x:v>46252</x:v>
      </x:c>
      <x:c r="U11" s="66" t="str">
        <x:v>Codex (revisión asistida)</x:v>
      </x:c>
      <x:c r="V11" s="66" t="str">
        <x:v>Lote 5 en curso. Contraste conceptual; útil para no sobregeneralizar que toda la literatura de adopción ignora continuidad.</x:v>
      </x:c>
    </x:row>
    <x:row r="12">
      <x:c r="A12" s="69" t="n">
        <x:v>25</x:v>
      </x:c>
      <x:c r="B12" s="67" t="str">
        <x:v>A</x:v>
      </x:c>
      <x:c r="C12" s="67" t="str">
        <x:v>2-s2.0-85146615672</x:v>
      </x:c>
      <x:c r="D12" s="67" t="str">
        <x:v>Reichelt N.; Nettle R.</x:v>
      </x:c>
      <x:c r="E12" s="71" t="n">
        <x:v>2023</x:v>
      </x:c>
      <x:c r="F12" s="67" t="str">
        <x:v>Practice insights for the responsible adoption of smart farming technologies using a participatory technology assessment approach: The case of virtual herding technology in Australia</x:v>
      </x:c>
      <x:c r="G12" s="67" t="str">
        <x:v>Agricultural Systems</x:v>
      </x:c>
      <x:c r="H12" s="67" t="str">
        <x:v>10.1016/j.agsy.2022.103592</x:v>
      </x:c>
      <x:c r="I12" s="67" t="str">
        <x:v>https://www.scopus.com/pages/publications/85146615672?origin=resultslist</x:v>
      </x:c>
      <x:c r="J12" s="67" t="str">
        <x:v>Article</x:v>
      </x:c>
      <x:c r="K12" s="67" t="str">
        <x:v>Recuperado</x:v>
      </x:c>
      <x:c r="L12" s="67" t="str">
        <x:v>Evaluado</x:v>
      </x:c>
      <x:c r="M12" s="67" t="str">
        <x:v>Incluir</x:v>
      </x:c>
      <x:c r="N12" s="67"/>
      <x:c r="O12" s="67" t="str">
        <x:v>Incluido como caso prospectivo de adopción responsable: la evaluación participativa del pastoreo virtual hace explícitos requisitos de adecuación, conectividad, energía, mantenimiento, solución de fallos, capacidades, soporte y aprendizaje continuo que condicionan el paso del producto a la práctica.</x:v>
      </x:c>
      <x:c r="P12" s="67" t="str">
        <x:v>Evaluación tecnológica participativa con 80 participantes y panel reflexivo</x:v>
      </x:c>
      <x:c r="Q12" s="67" t="str">
        <x:v>Alta</x:v>
      </x:c>
      <x:c r="R12" s="67" t="str">
        <x:v>Practice insights for the responsible adoption of smart farming technologies.pdf</x:v>
      </x:c>
      <x:c r="S12" s="67" t="str">
        <x:v>S1_SCOPUS_ID025_Responsible_Adoption_Virtual_Herding.pdf</x:v>
      </x:c>
      <x:c r="T12" s="73" t="n">
        <x:v>46251</x:v>
      </x:c>
      <x:c r="U12" s="67" t="str">
        <x:v>Codex (revisión asistida)</x:v>
      </x:c>
      <x:c r="V12" s="67" t="str">
        <x:v>Lote 4 cerrado. Revalidado con el PDF recibido el 2026-08-18; sin cambio de decisión.</x:v>
      </x:c>
    </x:row>
    <x:row r="13">
      <x:c r="A13" s="68" t="n">
        <x:v>37</x:v>
      </x:c>
      <x:c r="B13" s="66" t="str">
        <x:v>A</x:v>
      </x:c>
      <x:c r="C13" s="66" t="str">
        <x:v>2-s2.0-85137773041</x:v>
      </x:c>
      <x:c r="D13" s="66" t="str">
        <x:v>Ishchejkin T.; Liulka V.; Dovbush V.; Zaritska N.; Puzyrova P.; Tsalko T.; Nevmerzhytska S.; Rusina Y.; Nyshenko O.; Bebko S.</x:v>
      </x:c>
      <x:c r="E13" s="70" t="n">
        <x:v>2022</x:v>
      </x:c>
      <x:c r="F13" s="66" t="str">
        <x:v>INFORMATION SUBSYSTEM OF AGRI-FOOD ENTERPRISE MANAGEMENT IN THE CONTEXT OF DIGITALIZATION: THE PROBLEM OF DIGITAL MATURITY</x:v>
      </x:c>
      <x:c r="G13" s="66" t="str">
        <x:v>Journal of Hygienic Engineering and Design</x:v>
      </x:c>
      <x:c r="H13" s="66" t="str"/>
      <x:c r="I13" s="66" t="str">
        <x:v>https://www.scopus.com/pages/publications/85137773041?origin=resultslist</x:v>
      </x:c>
      <x:c r="J13" s="66" t="str">
        <x:v>Article</x:v>
      </x:c>
      <x:c r="K13" s="66" t="str">
        <x:v>No recuperado</x:v>
      </x:c>
      <x:c r="L13" s="66" t="str">
        <x:v>No evaluable</x:v>
      </x:c>
      <x:c r="M13" s="66" t="str">
        <x:v>No evaluable</x:v>
      </x:c>
      <x:c r="N13" s="66" t="str">
        <x:v>E07</x:v>
      </x:c>
      <x:c r="O13" s="66" t="str">
        <x:v>No se logró recuperar el texto completo tras la búsqueda documental. Se registra como E07 para control PRISMA; no constituye una exclusión después de lectura a texto completo.</x:v>
      </x:c>
      <x:c r="P13" s="66" t="str">
        <x:v>No disponible</x:v>
      </x:c>
      <x:c r="Q13" s="66" t="str">
        <x:v>No evaluable</x:v>
      </x:c>
      <x:c r="R13" s="66"/>
      <x:c r="S13" s="66"/>
      <x:c r="T13" s="72" t="n">
        <x:v>46252</x:v>
      </x:c>
      <x:c r="U13" s="66" t="str">
        <x:v>Codex (control documental)</x:v>
      </x:c>
      <x:c r="V13" s="66" t="str">
        <x:v>Lote 5 cerrado. E07 — reporte no recuperado; no se contabiliza como exclusión a texto completo.</x:v>
      </x:c>
    </x:row>
    <x:row r="14">
      <x:c r="A14" s="69" t="n">
        <x:v>42</x:v>
      </x:c>
      <x:c r="B14" s="67" t="str">
        <x:v>A</x:v>
      </x:c>
      <x:c r="C14" s="67" t="str">
        <x:v>2-s2.0-85106564986</x:v>
      </x:c>
      <x:c r="D14" s="67" t="str">
        <x:v>Vik J.; Melås A.M.; Stræte E.P.; Søraa R.A.</x:v>
      </x:c>
      <x:c r="E14" s="71" t="n">
        <x:v>2021</x:v>
      </x:c>
      <x:c r="F14" s="67" t="str">
        <x:v>Balanced readiness level assessment (BRLa): A tool for exploring new and emerging technologies.</x:v>
      </x:c>
      <x:c r="G14" s="67" t="str">
        <x:v>Technological Forecasting and Social Change</x:v>
      </x:c>
      <x:c r="H14" s="67" t="str">
        <x:v>10.1016/j.techfore.2021.120854</x:v>
      </x:c>
      <x:c r="I14" s="67" t="str">
        <x:v>https://www.scopus.com/pages/publications/85106564986?origin=resultslist</x:v>
      </x:c>
      <x:c r="J14" s="67" t="str">
        <x:v>Article</x:v>
      </x:c>
      <x:c r="K14" s="67" t="str">
        <x:v>Recuperado</x:v>
      </x:c>
      <x:c r="L14" s="67" t="str">
        <x:v>Evaluado</x:v>
      </x:c>
      <x:c r="M14" s="67" t="str">
        <x:v>Incluir</x:v>
      </x:c>
      <x:c r="N14" s="67"/>
      <x:c r="O14" s="67" t="str">
        <x:v>Incluido como contraste de madurez central: BRLa separa preparación tecnológica, de mercado, regulatoria, de aceptación y organizacional y demuestra que un TRL alto no garantiza implementación ni sostenibilidad.</x:v>
      </x:c>
      <x:c r="P14" s="67" t="str">
        <x:v>Desarrollo de herramienta, evaluación de 36 tecnologías y caso longitudinal</x:v>
      </x:c>
      <x:c r="Q14" s="67" t="str">
        <x:v>Alta</x:v>
      </x:c>
      <x:c r="R14" s="67" t="str">
        <x:v>Balanced readiness level assessment (BRLa) A tool for exploring new and.pdf</x:v>
      </x:c>
      <x:c r="S14" s="67" t="str">
        <x:v>S1_SCOPUS_ID042_Balanced_Readiness_Level_Assessment.pdf</x:v>
      </x:c>
      <x:c r="T14" s="73" t="n">
        <x:v>46251</x:v>
      </x:c>
      <x:c r="U14" s="67" t="str">
        <x:v>Codex (revisión asistida)</x:v>
      </x:c>
      <x:c r="V14" s="67" t="str">
        <x:v>Lote 2 cerrado.</x:v>
      </x:c>
    </x:row>
    <x:row r="15">
      <x:c r="A15" s="68" t="n">
        <x:v>46</x:v>
      </x:c>
      <x:c r="B15" s="66" t="str">
        <x:v>A</x:v>
      </x:c>
      <x:c r="C15" s="66" t="str">
        <x:v>2-s2.0-85159565021</x:v>
      </x:c>
      <x:c r="D15" s="66" t="str">
        <x:v>Gebresenbet G.; Bosona T.; Patterson D.; Persson H.; Fischer B.; Mandaluniz N.; Chirici G.; Zacepins A.; Komasilovs V.; Pitulac T.; Nasirahmadi A.</x:v>
      </x:c>
      <x:c r="E15" s="70" t="n">
        <x:v>2023</x:v>
      </x:c>
      <x:c r="F15" s="66" t="str">
        <x:v>A concept for application of integrated digital technologies to enhance future smart agricultural systems</x:v>
      </x:c>
      <x:c r="G15" s="66" t="str">
        <x:v>Smart Agricultural Technology</x:v>
      </x:c>
      <x:c r="H15" s="66" t="str">
        <x:v>10.1016/j.atech.2023.100255</x:v>
      </x:c>
      <x:c r="I15" s="66" t="str">
        <x:v>https://www.scopus.com/pages/publications/85159565021?origin=resultslist</x:v>
      </x:c>
      <x:c r="J15" s="66" t="str">
        <x:v>Article</x:v>
      </x:c>
      <x:c r="K15" s="66" t="str">
        <x:v>Recuperado</x:v>
      </x:c>
      <x:c r="L15" s="66" t="str">
        <x:v>Evaluado</x:v>
      </x:c>
      <x:c r="M15" s="66" t="str">
        <x:v>Incluir</x:v>
      </x:c>
      <x:c r="N15" s="66" t="str"/>
      <x:c r="O15" s="66" t="str">
        <x:v>Incluido porque propone una arquitectura explícita de integración de datos, sensores, plataformas, IA, computación, DSS, gobierno y seguridad, y documenta barreras que impiden pasar de sistemas aislados a una solución integrada.</x:v>
      </x:c>
      <x:c r="P15" s="66" t="str">
        <x:v>Revisión narrativa y desarrollo conceptual</x:v>
      </x:c>
      <x:c r="Q15" s="66" t="str">
        <x:v>Moderada</x:v>
      </x:c>
      <x:c r="R15" s="66" t="str">
        <x:v>A concept for application of integrated digital technologies to enhance.pdf</x:v>
      </x:c>
      <x:c r="S15" s="66" t="str">
        <x:v>S1_SCOPUS_ID046_Integrated_Digital_Technologies_Smart_Agriculture.pdf</x:v>
      </x:c>
      <x:c r="T15" s="72" t="n">
        <x:v>46251</x:v>
      </x:c>
      <x:c r="U15" s="66" t="str">
        <x:v>Codex (revisión asistida)</x:v>
      </x:c>
      <x:c r="V15" s="66" t="str">
        <x:v>Lote 1 cerrado.</x:v>
      </x:c>
    </x:row>
    <x:row r="16">
      <x:c r="A16" s="69" t="n">
        <x:v>49</x:v>
      </x:c>
      <x:c r="B16" s="67" t="str">
        <x:v>A</x:v>
      </x:c>
      <x:c r="C16" s="67" t="str">
        <x:v>2-s2.0-105020864733</x:v>
      </x:c>
      <x:c r="D16" s="67" t="str">
        <x:v>Soma K.; Brunori G.; Giagnocavo C.; Meulman F.; Ryan M.; Heredia Hortigüela R.M.; Iliopoulos C.; Paulus M.; Ferrari A.; Kilis E.; Grando S.; Bellon-Maurel V.; Knierim A.; Gobrecht A.; Selnes T.; Ortolani L.; Bacco M.; Mannari C.</x:v>
      </x:c>
      <x:c r="E16" s="71" t="n">
        <x:v>2026</x:v>
      </x:c>
      <x:c r="F16" s="67" t="str">
        <x:v>Sustainable digitalisation - a system thinking approach for determining costs and benefits in the agri-sector</x:v>
      </x:c>
      <x:c r="G16" s="67" t="str">
        <x:v>Agricultural Systems</x:v>
      </x:c>
      <x:c r="H16" s="67" t="str">
        <x:v>10.1016/j.agsy.2025.104529</x:v>
      </x:c>
      <x:c r="I16" s="67" t="str">
        <x:v>https://www.scopus.com/pages/publications/105020864733?origin=resultslist</x:v>
      </x:c>
      <x:c r="J16" s="67" t="str">
        <x:v>Article</x:v>
      </x:c>
      <x:c r="K16" s="67" t="str">
        <x:v>Recuperado</x:v>
      </x:c>
      <x:c r="L16" s="67" t="str">
        <x:v>Evaluado</x:v>
      </x:c>
      <x:c r="M16" s="67" t="str">
        <x:v>Incluir</x:v>
      </x:c>
      <x:c r="N16" s="67"/>
      <x:c r="O16" s="67" t="str">
        <x:v>Incluido como núcleo conceptual sistémico: distingue procesos de finca, ecosistemas digitales y contexto socioambiental; incorpora drivers internos y externos, capacidades, recursos, interdependencias y bucles de retroalimentación, y advierte que la adopción tecnológica o beneficios locales no garantizan una transición sostenible de largo plazo.</x:v>
      </x:c>
      <x:c r="P16" s="67" t="str">
        <x:v>Short communication: scoping review CODECS, construcción conceptual e interacción con 20 Living Labs</x:v>
      </x:c>
      <x:c r="Q16" s="67" t="str">
        <x:v>Moderada</x:v>
      </x:c>
      <x:c r="R16" s="67" t="str">
        <x:v>Sustainable digitalisation - a system thinking approach for determining.pdf</x:v>
      </x:c>
      <x:c r="S16" s="67" t="str">
        <x:v>S1_SCOPUS_ID049_Sustainable_Digitalisation_System_Thinking.pdf</x:v>
      </x:c>
      <x:c r="T16" s="73" t="n">
        <x:v>46252</x:v>
      </x:c>
      <x:c r="U16" s="67" t="str">
        <x:v>Codex (revisión asistida)</x:v>
      </x:c>
      <x:c r="V16" s="67" t="str">
        <x:v>Lote 5 en curso. Núcleo conceptual; aporta perspectiva sistémica y temporal, pero no validación longitudinal de un despliegue delimitado.</x:v>
      </x:c>
    </x:row>
    <x:row r="17">
      <x:c r="A17" s="68" t="n">
        <x:v>50</x:v>
      </x:c>
      <x:c r="B17" s="66" t="str">
        <x:v>A</x:v>
      </x:c>
      <x:c r="C17" s="66" t="str">
        <x:v>2-s2.0-105038314095</x:v>
      </x:c>
      <x:c r="D17" s="66" t="str">
        <x:v>An C.-Y.; Song C.; Song S.; Kim S.; Jeong H.; Ryu J.; Park J.</x:v>
      </x:c>
      <x:c r="E17" s="70" t="n">
        <x:v>2026</x:v>
      </x:c>
      <x:c r="F17" s="66" t="str">
        <x:v>Development of an integrated smart farm system for open-field soybean cultivation in a former paddy fields</x:v>
      </x:c>
      <x:c r="G17" s="66" t="str">
        <x:v>Frontiers in Sustainable Food Systems</x:v>
      </x:c>
      <x:c r="H17" s="66" t="str">
        <x:v>10.3389/fsufs.2026.1702551</x:v>
      </x:c>
      <x:c r="I17" s="66" t="str">
        <x:v>https://www.scopus.com/pages/publications/105038314095?origin=resultslist</x:v>
      </x:c>
      <x:c r="J17" s="66" t="str">
        <x:v>Article</x:v>
      </x:c>
      <x:c r="K17" s="66" t="str">
        <x:v>Recuperado</x:v>
      </x:c>
      <x:c r="L17" s="66" t="str">
        <x:v>Evaluado</x:v>
      </x:c>
      <x:c r="M17" s="66" t="str">
        <x:v>Incluir</x:v>
      </x:c>
      <x:c r="N17" s="66"/>
      <x:c r="O17" s="66" t="str">
        <x:v>Incluido como caso operacional central: integra maquinaria autónoma, riego, drenaje, fertirrigación, sensores, trampas, UAV e IMCS y compara durante 2022–2024 una parcela inteligente con manejo convencional.</x:v>
      </x:c>
      <x:c r="P17" s="66" t="str">
        <x:v>Desarrollo tecnológico y ensayo de campo comparativo durante tres campañas</x:v>
      </x:c>
      <x:c r="Q17" s="66" t="str">
        <x:v>Alta</x:v>
      </x:c>
      <x:c r="R17" s="66" t="str">
        <x:v>Development of an integrated smart farm system for open-field soybean cultivation in a former paddy fields.pdf</x:v>
      </x:c>
      <x:c r="S17" s="66" t="str">
        <x:v>S1_SCOPUS_ID050_Integrated_Smart_Farm_Open_Field_Soybean.pdf</x:v>
      </x:c>
      <x:c r="T17" s="72" t="n">
        <x:v>46251</x:v>
      </x:c>
      <x:c r="U17" s="66" t="str">
        <x:v>Codex (revisión asistida)</x:v>
      </x:c>
      <x:c r="V17" s="66" t="str">
        <x:v>Lote 2 cerrado.</x:v>
      </x:c>
    </x:row>
    <x:row r="18">
      <x:c r="A18" s="69" t="n">
        <x:v>51</x:v>
      </x:c>
      <x:c r="B18" s="67" t="str">
        <x:v>A</x:v>
      </x:c>
      <x:c r="C18" s="67" t="str">
        <x:v>2-s2.0-105028849845</x:v>
      </x:c>
      <x:c r="D18" s="67" t="str">
        <x:v>Sun Y.; Li Q.; Liu H.</x:v>
      </x:c>
      <x:c r="E18" s="71" t="n">
        <x:v>2026</x:v>
      </x:c>
      <x:c r="F18" s="67" t="str">
        <x:v>Factors influencing agricultural digital transformation: A systematic review of environmental, technological, and individual dimensions</x:v>
      </x:c>
      <x:c r="G18" s="67" t="str">
        <x:v>Computers and Electronics in Agriculture</x:v>
      </x:c>
      <x:c r="H18" s="67" t="str">
        <x:v>10.1016/j.compag.2026.111430</x:v>
      </x:c>
      <x:c r="I18" s="67" t="str">
        <x:v>https://www.scopus.com/pages/publications/105028849845?origin=resultslist</x:v>
      </x:c>
      <x:c r="J18" s="67" t="str">
        <x:v>Article</x:v>
      </x:c>
      <x:c r="K18" s="67" t="str">
        <x:v>Recuperado</x:v>
      </x:c>
      <x:c r="L18" s="67" t="str">
        <x:v>Evaluado</x:v>
      </x:c>
      <x:c r="M18" s="67" t="str">
        <x:v>Incluir</x:v>
      </x:c>
      <x:c r="N18" s="67"/>
      <x:c r="O18" s="67" t="str">
        <x:v>Incluido como síntesis complementaria: organiza 620 publicaciones en dimensiones ambiental, tecnológica e individual y muestra que infraestructura, compatibilidad, confiabilidad, recursos, capacidades, redes y políticas interactúan de forma dinámica y dependiente del contexto.</x:v>
      </x:c>
      <x:c r="P18" s="67" t="str">
        <x:v>Revisión sistemática y análisis bibliométrico de 620 publicaciones</x:v>
      </x:c>
      <x:c r="Q18" s="67" t="str">
        <x:v>Alta</x:v>
      </x:c>
      <x:c r="R18" s="67" t="str">
        <x:v>Factors influencing agricultural digital transformation A systematic review.pdf</x:v>
      </x:c>
      <x:c r="S18" s="67" t="str">
        <x:v>S1_SCOPUS_ID051_Factors_Agricultural_Digital_Transformation_Review.pdf</x:v>
      </x:c>
      <x:c r="T18" s="73" t="n">
        <x:v>46251</x:v>
      </x:c>
      <x:c r="U18" s="67" t="str">
        <x:v>Codex (revisión asistida)</x:v>
      </x:c>
      <x:c r="V18" s="67" t="str">
        <x:v>Lote 3 cerrado.</x:v>
      </x:c>
    </x:row>
    <x:row r="19">
      <x:c r="A19" s="68" t="n">
        <x:v>52</x:v>
      </x:c>
      <x:c r="B19" s="66" t="str">
        <x:v>B</x:v>
      </x:c>
      <x:c r="C19" s="66" t="str">
        <x:v>2-s2.0-105033067063</x:v>
      </x:c>
      <x:c r="D19" s="66" t="str">
        <x:v>Sumardjo; Firmansyah A.; Dharmawan L.; Darmawan C.; Martuti N.K.T.; Zaenudin H.N.; Melati I.S.</x:v>
      </x:c>
      <x:c r="E19" s="70" t="n">
        <x:v>2026</x:v>
      </x:c>
      <x:c r="F19" s="66" t="str">
        <x:v>Communication as the primary driver of IoT-based smart farming adoption: the mediating role of innovation perception and the supporting function of institutional mechanism</x:v>
      </x:c>
      <x:c r="G19" s="66" t="str">
        <x:v>Frontiers in Communication</x:v>
      </x:c>
      <x:c r="H19" s="66" t="str">
        <x:v>10.3389/fcomm.2026.1752567</x:v>
      </x:c>
      <x:c r="I19" s="66" t="str">
        <x:v>https://www.scopus.com/pages/publications/105033067063?origin=resultslist</x:v>
      </x:c>
      <x:c r="J19" s="66" t="str">
        <x:v>Article</x:v>
      </x:c>
      <x:c r="K19" s="66" t="str">
        <x:v>Recuperado</x:v>
      </x:c>
      <x:c r="L19" s="66" t="str">
        <x:v>Evaluado</x:v>
      </x:c>
      <x:c r="M19" s="66" t="str">
        <x:v>Incluir</x:v>
      </x:c>
      <x:c r="N19" s="66"/>
      <x:c r="O19" s="66" t="str">
        <x:v>Incluido como complemento sociotécnico: en 200 agricultores muestra que comunicación, percepción de la innovación y apoyo institucional condicionan la adopción y explicita capacitación, asistencia técnica, evaluación participativa y facilitación financiera.</x:v>
      </x:c>
      <x:c r="P19" s="66" t="str">
        <x:v>Encuesta transversal, PLS-SEM y entrevistas contextuales</x:v>
      </x:c>
      <x:c r="Q19" s="66" t="str">
        <x:v>Moderada</x:v>
      </x:c>
      <x:c r="R19" s="66" t="str">
        <x:v>Communication as the primary driver of IoT-based smart farming adoption the mediating role of innovation perception and the supporting function of institutional mechanism.pdf</x:v>
      </x:c>
      <x:c r="S19" s="66" t="str">
        <x:v>S1_SCOPUS_ID052_Communication_IoT_Smart_Farming_Adoption.pdf</x:v>
      </x:c>
      <x:c r="T19" s="72" t="n">
        <x:v>46251</x:v>
      </x:c>
      <x:c r="U19" s="66" t="str">
        <x:v>Codex (revisión asistida)</x:v>
      </x:c>
      <x:c r="V19" s="66" t="str">
        <x:v>Lote 2 cerrado.</x:v>
      </x:c>
    </x:row>
    <x:row r="20">
      <x:c r="A20" s="69" t="n">
        <x:v>53</x:v>
      </x:c>
      <x:c r="B20" s="67" t="str">
        <x:v>A</x:v>
      </x:c>
      <x:c r="C20" s="67" t="str">
        <x:v>2-s2.0-85139835725</x:v>
      </x:c>
      <x:c r="D20" s="67" t="str">
        <x:v>Metta M.; Ciliberti S.; Obi C.; Bartolini F.; Klerkx L.; Brunori G.</x:v>
      </x:c>
      <x:c r="E20" s="71" t="n">
        <x:v>2022</x:v>
      </x:c>
      <x:c r="F20" s="67" t="str">
        <x:v>An integrated socio-cyber-physical system framework to assess responsible digitalisation in agriculture: A first application with Living Labs in Europe</x:v>
      </x:c>
      <x:c r="G20" s="67" t="str">
        <x:v>Agricultural Systems</x:v>
      </x:c>
      <x:c r="H20" s="67" t="str">
        <x:v>10.1016/j.agsy.2022.103533</x:v>
      </x:c>
      <x:c r="I20" s="67" t="str">
        <x:v>https://www.scopus.com/pages/publications/85139835725?origin=resultslist</x:v>
      </x:c>
      <x:c r="J20" s="67" t="str">
        <x:v>Article</x:v>
      </x:c>
      <x:c r="K20" s="67" t="str">
        <x:v>Recuperado</x:v>
      </x:c>
      <x:c r="L20" s="67" t="str">
        <x:v>Evaluado</x:v>
      </x:c>
      <x:c r="M20" s="67" t="str">
        <x:v>Incluir</x:v>
      </x:c>
      <x:c r="N20" s="67" t="str"/>
      <x:c r="O20" s="67" t="str">
        <x:v>Incluido como fuente central: operacionaliza un marco socio-ciber-físico, lo aplica en 21 Living Labs y demuestra que diseño, acceso y dinámica del sistema deben analizarse conjuntamente para comprender impactos y trade-offs de la digitalización.</x:v>
      </x:c>
      <x:c r="P20" s="67" t="str">
        <x:v>Framework conceptual operacionalizado y aplicación multicaso participativa</x:v>
      </x:c>
      <x:c r="Q20" s="67" t="str">
        <x:v>Alta</x:v>
      </x:c>
      <x:c r="R20" s="67" t="str">
        <x:v>An integrated socio-cyber-physical system framework to assess responsible.pdf</x:v>
      </x:c>
      <x:c r="S20" s="67" t="str">
        <x:v>S1_SCOPUS_ID053_Socio_Cyber_Physical_Responsible_Digitalisation.pdf</x:v>
      </x:c>
      <x:c r="T20" s="73" t="n">
        <x:v>46251</x:v>
      </x:c>
      <x:c r="U20" s="67" t="str">
        <x:v>Codex (revisión asistida)</x:v>
      </x:c>
      <x:c r="V20" s="67" t="str">
        <x:v>Lote 1 cerrado.</x:v>
      </x:c>
    </x:row>
    <x:row r="21">
      <x:c r="A21" s="68" t="n">
        <x:v>56</x:v>
      </x:c>
      <x:c r="B21" s="66" t="str">
        <x:v>A</x:v>
      </x:c>
      <x:c r="C21" s="66" t="str">
        <x:v>2-s2.0-105034097928</x:v>
      </x:c>
      <x:c r="D21" s="66" t="str">
        <x:v>Li J.; Maiti A.; Cahoon S.</x:v>
      </x:c>
      <x:c r="E21" s="70" t="n">
        <x:v>2026</x:v>
      </x:c>
      <x:c r="F21" s="66" t="str">
        <x:v>A Framework to Measure Maturity of Industrial IoT Technology for Agricultural Regulatory Compliance Activities and Decentralization</x:v>
      </x:c>
      <x:c r="G21" s="66" t="str">
        <x:v>Future Internet</x:v>
      </x:c>
      <x:c r="H21" s="66" t="str">
        <x:v>10.3390/fi18030142</x:v>
      </x:c>
      <x:c r="I21" s="66" t="str">
        <x:v>https://www.scopus.com/pages/publications/105034097928?origin=resultslist</x:v>
      </x:c>
      <x:c r="J21" s="66" t="str">
        <x:v>Article</x:v>
      </x:c>
      <x:c r="K21" s="66" t="str">
        <x:v>Recuperado</x:v>
      </x:c>
      <x:c r="L21" s="66" t="str">
        <x:v>Evaluado</x:v>
      </x:c>
      <x:c r="M21" s="66" t="str">
        <x:v>Incluir</x:v>
      </x:c>
      <x:c r="N21" s="66" t="str"/>
      <x:c r="O21" s="66" t="str">
        <x:v>Incluido porque relaciona requisitos regulatorios con atributos tecnológicos verificables y explicita responsabilidades, disponibilidad, fiabilidad, redundancia, capacitación y soporte para sostener la operación.</x:v>
      </x:c>
      <x:c r="P21" s="66" t="str">
        <x:v>Revisión documental y framework de preparación tecnológica</x:v>
      </x:c>
      <x:c r="Q21" s="66" t="str">
        <x:v>Moderada</x:v>
      </x:c>
      <x:c r="R21" s="66" t="str">
        <x:v>A Framework to Measure Maturity of Industrial IoT Technology for Agricultural Regulatory Compliance Activities and Decentralization.pdf</x:v>
      </x:c>
      <x:c r="S21" s="66" t="str">
        <x:v>S1_SCOPUS_ID056_IIoT_Maturity_Agricultural_Regulatory_Compliance.pdf</x:v>
      </x:c>
      <x:c r="T21" s="72" t="n">
        <x:v>46251</x:v>
      </x:c>
      <x:c r="U21" s="66" t="str">
        <x:v>Codex (revisión asistida)</x:v>
      </x:c>
      <x:c r="V21" s="66" t="str">
        <x:v>Lote 1 cerrado.</x:v>
      </x:c>
    </x:row>
    <x:row r="22">
      <x:c r="A22" s="69" t="n">
        <x:v>57</x:v>
      </x:c>
      <x:c r="B22" s="67" t="str">
        <x:v>A</x:v>
      </x:c>
      <x:c r="C22" s="67" t="str">
        <x:v>2-s2.0-105028534405</x:v>
      </x:c>
      <x:c r="D22" s="67" t="str">
        <x:v>Arzuaga-Ochoa M.E.; Acosta-Coll M.; Barrios Barrios M.</x:v>
      </x:c>
      <x:c r="E22" s="71" t="n">
        <x:v>2026</x:v>
      </x:c>
      <x:c r="F22" s="67" t="str">
        <x:v>The Validation–Deployment Gap in Agricultural Information Systems: A Systematic Technology Readiness Assessment</x:v>
      </x:c>
      <x:c r="G22" s="67" t="str">
        <x:v>Informatics</x:v>
      </x:c>
      <x:c r="H22" s="67" t="str">
        <x:v>10.3390/informatics13010014</x:v>
      </x:c>
      <x:c r="I22" s="67" t="str">
        <x:v>https://www.scopus.com/pages/publications/105028534405?origin=resultslist</x:v>
      </x:c>
      <x:c r="J22" s="67" t="str">
        <x:v>Review</x:v>
      </x:c>
      <x:c r="K22" s="67" t="str">
        <x:v>Recuperado</x:v>
      </x:c>
      <x:c r="L22" s="67" t="str">
        <x:v>Evaluado</x:v>
      </x:c>
      <x:c r="M22" s="67" t="str">
        <x:v>Incluir</x:v>
      </x:c>
      <x:c r="N22" s="67"/>
      <x:c r="O22" s="67" t="str">
        <x:v>Incluido como núcleo conceptual y evidencia secundaria directa de la brecha validación–despliegue. La revisión muestra que alto desempeño computacional no implica viabilidad de despliegue: 77.8% de las tecnologías permanecen en TRL ≤ 5 y sólo 3% muestran operación sostenida &gt;12 meses; además propone validación contextual, económica, de adopción e impacto.</x:v>
      </x:c>
      <x:c r="P22" s="67" t="str">
        <x:v>Revisión sistemática PRISMA de 99 estudios + evaluación TRL, barreras y madurez de despliegue</x:v>
      </x:c>
      <x:c r="Q22" s="67" t="str">
        <x:v>Alta</x:v>
      </x:c>
      <x:c r="R22" s="67" t="str">
        <x:v>The Validation–Deployment Gap in Agricultural Information Systems A Systematic Technology Readiness Assessment(1).pdf</x:v>
      </x:c>
      <x:c r="S22" s="67" t="str">
        <x:v>S1_SCOPUS_ID057_Validation_Deployment_Gap_Agricultural_Information_Systems.pdf</x:v>
      </x:c>
      <x:c r="T22" s="73" t="n">
        <x:v>46252</x:v>
      </x:c>
      <x:c r="U22" s="67" t="str">
        <x:v>Codex (revisión asistida)</x:v>
      </x:c>
      <x:c r="V22" s="67" t="str">
        <x:v>Lote 5 cerrado. Fuente central para distinguir rendimiento técnico, validación contextual y despliegue sostenido; no usar sus índices compuestos como puntuación A³M.</x:v>
      </x:c>
    </x:row>
    <x:row r="23">
      <x:c r="A23" s="68" t="n">
        <x:v>58</x:v>
      </x:c>
      <x:c r="B23" s="66" t="str">
        <x:v>A</x:v>
      </x:c>
      <x:c r="C23" s="66" t="str">
        <x:v>2-s2.0-105037752431</x:v>
      </x:c>
      <x:c r="D23" s="66" t="str">
        <x:v>Siewe F.B.; Nkongho R.N.; Ndasi N.P.</x:v>
      </x:c>
      <x:c r="E23" s="70" t="n">
        <x:v>2026</x:v>
      </x:c>
      <x:c r="F23" s="66" t="str">
        <x:v>Digitalisation of food value chains in developing countries: Systemic barriers and a digital-maturity-stratified strategy for integrated and inclusive adoption</x:v>
      </x:c>
      <x:c r="G23" s="66" t="str">
        <x:v>Trends in Food Science and Technology</x:v>
      </x:c>
      <x:c r="H23" s="66" t="str">
        <x:v>10.1016/j.tifs.2026.105786</x:v>
      </x:c>
      <x:c r="I23" s="66" t="str">
        <x:v>https://www.scopus.com/pages/publications/105037752431?origin=resultslist</x:v>
      </x:c>
      <x:c r="J23" s="66" t="str">
        <x:v>Review</x:v>
      </x:c>
      <x:c r="K23" s="66" t="str">
        <x:v>Recuperado</x:v>
      </x:c>
      <x:c r="L23" s="66" t="str">
        <x:v>Evaluado</x:v>
      </x:c>
      <x:c r="M23" s="66" t="str">
        <x:v>Incluir</x:v>
      </x:c>
      <x:c r="N23" s="66"/>
      <x:c r="O23" s="66" t="str">
        <x:v>Incluido como núcleo conceptual por integrar diagnóstico situado, co-diseño, pilotaje, aprendizaje, infraestructura, mantenimiento local y gobernanza adaptativa en una estrategia iterativa para cadenas alimentarias de países en desarrollo.</x:v>
      </x:c>
      <x:c r="P23" s="66" t="str">
        <x:v>Revisión sistemática de 62 estudios y desarrollo de estrategia de madurez</x:v>
      </x:c>
      <x:c r="Q23" s="66" t="str">
        <x:v>Moderada</x:v>
      </x:c>
      <x:c r="R23" s="66" t="str">
        <x:v>Digitalisation of food value chains in developing countries Systemic.pdf</x:v>
      </x:c>
      <x:c r="S23" s="66" t="str">
        <x:v>S1_SCOPUS_ID058_Digitalisation_Food_Value_Chains_Developing_Countries.pdf</x:v>
      </x:c>
      <x:c r="T23" s="72" t="n">
        <x:v>46251</x:v>
      </x:c>
      <x:c r="U23" s="66" t="str">
        <x:v>Codex (revisión asistida)</x:v>
      </x:c>
      <x:c r="V23" s="66" t="str">
        <x:v>Lote 3 cerrado.</x:v>
      </x:c>
    </x:row>
    <x:row r="24">
      <x:c r="A24" s="69" t="n">
        <x:v>68</x:v>
      </x:c>
      <x:c r="B24" s="67" t="str">
        <x:v>A</x:v>
      </x:c>
      <x:c r="C24" s="67" t="str">
        <x:v>2-s2.0-105034302993</x:v>
      </x:c>
      <x:c r="D24" s="67" t="str">
        <x:v>Ahoa E.; Kassahun A.; Verdouw C.; Tekinerdogan B.; Tummers J.</x:v>
      </x:c>
      <x:c r="E24" s="71" t="n">
        <x:v>2026</x:v>
      </x:c>
      <x:c r="F24" s="67" t="str">
        <x:v>A capability maturity model for assessing digital integration in smart farming</x:v>
      </x:c>
      <x:c r="G24" s="67" t="str">
        <x:v>Smart Agricultural Technology</x:v>
      </x:c>
      <x:c r="H24" s="67" t="str">
        <x:v>10.1016/j.atech.2025.101743</x:v>
      </x:c>
      <x:c r="I24" s="67" t="str">
        <x:v>https://www.scopus.com/pages/publications/105034302993?origin=resultslist</x:v>
      </x:c>
      <x:c r="J24" s="67" t="str">
        <x:v>Article</x:v>
      </x:c>
      <x:c r="K24" s="67" t="str">
        <x:v>Recuperado</x:v>
      </x:c>
      <x:c r="L24" s="67" t="str">
        <x:v>Evaluado</x:v>
      </x:c>
      <x:c r="M24" s="67" t="str">
        <x:v>Incluir</x:v>
      </x:c>
      <x:c r="N24" s="67" t="str"/>
      <x:c r="O24" s="67" t="str">
        <x:v>Incluido como fuente central y contraste: desarrolla y prueba un modelo de madurez de integración digital que combina capacidades técnicas y organizacionales, mostrando que la disponibilidad tecnológica no garantiza integración.</x:v>
      </x:c>
      <x:c r="P24" s="67" t="str">
        <x:v>Ciencia del diseño y estudio multicaso en tres explotaciones</x:v>
      </x:c>
      <x:c r="Q24" s="67" t="str">
        <x:v>Alta</x:v>
      </x:c>
      <x:c r="R24" s="67" t="str">
        <x:v>A capability maturity model for assessing digital integration in.pdf</x:v>
      </x:c>
      <x:c r="S24" s="67" t="str">
        <x:v>S1_SCOPUS_ID068_Capability_Maturity_Digital_Integration_Smart_Farming.pdf</x:v>
      </x:c>
      <x:c r="T24" s="73" t="n">
        <x:v>46251</x:v>
      </x:c>
      <x:c r="U24" s="67" t="str">
        <x:v>Codex (revisión asistida)</x:v>
      </x:c>
      <x:c r="V24" s="67" t="str">
        <x:v>Lote 1 cerrado.</x:v>
      </x:c>
    </x:row>
    <x:row r="25">
      <x:c r="A25" s="68" t="n">
        <x:v>72</x:v>
      </x:c>
      <x:c r="B25" s="66" t="str">
        <x:v>A</x:v>
      </x:c>
      <x:c r="C25" s="66" t="str">
        <x:v>2-s2.0-105024243863</x:v>
      </x:c>
      <x:c r="D25" s="66" t="str">
        <x:v>Zahid F.; Chen X.; Sohail S.; Li B.; Po-Leen Ooi M.</x:v>
      </x:c>
      <x:c r="E25" s="70" t="n">
        <x:v>2026</x:v>
      </x:c>
      <x:c r="F25" s="66" t="str">
        <x:v>Systematic mapping study to assess security landscape for IoT-based smart farming systems</x:v>
      </x:c>
      <x:c r="G25" s="66" t="str">
        <x:v>Computers and Security</x:v>
      </x:c>
      <x:c r="H25" s="66" t="str">
        <x:v>10.1016/j.cose.2025.104790</x:v>
      </x:c>
      <x:c r="I25" s="66" t="str">
        <x:v>https://www.scopus.com/pages/publications/105024243863?origin=resultslist</x:v>
      </x:c>
      <x:c r="J25" s="66" t="str">
        <x:v>Review</x:v>
      </x:c>
      <x:c r="K25" s="66" t="str">
        <x:v>Recuperado</x:v>
      </x:c>
      <x:c r="L25" s="66" t="str">
        <x:v>Evaluado</x:v>
      </x:c>
      <x:c r="M25" s="66" t="str">
        <x:v>Excluir</x:v>
      </x:c>
      <x:c r="N25" s="66" t="str">
        <x:v>E05</x:v>
      </x:c>
      <x:c r="O25" s="66" t="str">
        <x:v>Excluido por saturación conceptual (E05). El estudio documenta con rigor la brecha entre prototipos de ciberseguridad y despliegue real en IoT agrícola, pero su contribución para A³M queda restringida a un subdominio técnico y se encuentra sustancialmente subsumida por fuentes ya incluidas sobre readiness, integración, interoperabilidad y paso de validación a operación. Mantenerlo como referencia periférica si se desarrolla una discusión específica de ciberresiliencia.</x:v>
      </x:c>
      <x:c r="P25" s="66" t="str">
        <x:v>Systematic mapping study de 48 estudios + evaluación TRL e ISO/IEC 25010</x:v>
      </x:c>
      <x:c r="Q25" s="66" t="str">
        <x:v>Alta</x:v>
      </x:c>
      <x:c r="R25" s="66" t="str">
        <x:v>Systematic mapping study to assess security landscape for IoT-based smart.pdf</x:v>
      </x:c>
      <x:c r="S25" s="66"/>
      <x:c r="T25" s="72" t="n">
        <x:v>46252</x:v>
      </x:c>
      <x:c r="U25" s="66" t="str">
        <x:v>Codex (revisión asistida)</x:v>
      </x:c>
      <x:c r="V25" s="66" t="str">
        <x:v>Lote 5 en curso. E05: pertinente pero redundante para el núcleo A³M; no se incorpora al ZIP de aceptados.</x:v>
      </x:c>
    </x:row>
    <x:row r="26">
      <x:c r="A26" s="69" t="n">
        <x:v>80</x:v>
      </x:c>
      <x:c r="B26" s="67" t="str">
        <x:v>A</x:v>
      </x:c>
      <x:c r="C26" s="67" t="str">
        <x:v>2-s2.0-85135174684</x:v>
      </x:c>
      <x:c r="D26" s="67" t="str">
        <x:v>Eastwood C.R.; Dela Rue B.; Edwards J.P.; Jago J.</x:v>
      </x:c>
      <x:c r="E26" s="71" t="n">
        <x:v>2022</x:v>
      </x:c>
      <x:c r="F26" s="67" t="str">
        <x:v>Responsible robotics design–A systems approach to developing design guides for robotics in pasture-grazed dairy farming</x:v>
      </x:c>
      <x:c r="G26" s="67" t="str">
        <x:v>Frontiers in Robotics and AI</x:v>
      </x:c>
      <x:c r="H26" s="67" t="str">
        <x:v>10.3389/frobt.2022.914850</x:v>
      </x:c>
      <x:c r="I26" s="67" t="str">
        <x:v>https://www.scopus.com/pages/publications/85135174684?origin=resultslist</x:v>
      </x:c>
      <x:c r="J26" s="67" t="str">
        <x:v>Article</x:v>
      </x:c>
      <x:c r="K26" s="67" t="str">
        <x:v>Recuperado</x:v>
      </x:c>
      <x:c r="L26" s="67" t="str">
        <x:v>Evaluado</x:v>
      </x:c>
      <x:c r="M26" s="67" t="str">
        <x:v>Incluir</x:v>
      </x:c>
      <x:c r="N26" s="67"/>
      <x:c r="O26" s="67" t="str">
        <x:v>Incluido como núcleo conceptual específico de robótica agrícola. El diseño responsable parte de necesidades y condiciones del sistema de finca y las traduce en criterios de diseño, integración, soporte, mantenimiento, conectividad, interoperabilidad, habilidades, regulación y redes de servicio; el caso de ordeño robótico muestra de forma explícita cómo el contexto redefine los requisitos tecnológicos.</x:v>
      </x:c>
      <x:c r="P26" s="67" t="str">
        <x:v>Perspective paper: framework de diseño responsable + aplicación conceptual a ordeño robótico en pastoreo</x:v>
      </x:c>
      <x:c r="Q26" s="67" t="str">
        <x:v>Moderada</x:v>
      </x:c>
      <x:c r="R26" s="67" t="str">
        <x:v>Responsible robotics design–A systems approach to developing design guides for robotics in pasture-grazed dairy farming(1).pdf</x:v>
      </x:c>
      <x:c r="S26" s="67" t="str">
        <x:v>S1_SCOPUS_ID080_Responsible_Robotics_Design_Pasture_Dairy.pdf</x:v>
      </x:c>
      <x:c r="T26" s="73" t="n">
        <x:v>46252</x:v>
      </x:c>
      <x:c r="U26" s="67" t="str">
        <x:v>Codex (revisión asistida)</x:v>
      </x:c>
      <x:c r="V26" s="67" t="str">
        <x:v>Lote 6 cerrado. Muy pertinente para I12/I23/I3M; IM1 queda parcial porque el co-diseño e iteración se proponen, pero no se demuestra un ciclo operacional longitudinal.</x:v>
      </x:c>
    </x:row>
    <x:row r="27">
      <x:c r="A27" s="68" t="n">
        <x:v>83</x:v>
      </x:c>
      <x:c r="B27" s="66" t="str">
        <x:v>B</x:v>
      </x:c>
      <x:c r="C27" s="66" t="str">
        <x:v>2-s2.0-105028729958</x:v>
      </x:c>
      <x:c r="D27" s="66" t="str">
        <x:v>Cocian C.A.; Pocol C.B.</x:v>
      </x:c>
      <x:c r="E27" s="70" t="n">
        <x:v>2026</x:v>
      </x:c>
      <x:c r="F27" s="66" t="str">
        <x:v>Perceptions to Precision: Bridging the Gap Between Behavioral Drivers and Digital Tools for Sustainable Pesticide Use in Europe</x:v>
      </x:c>
      <x:c r="G27" s="66" t="str">
        <x:v>Agronomy</x:v>
      </x:c>
      <x:c r="H27" s="66" t="str">
        <x:v>10.3390/agronomy16020214</x:v>
      </x:c>
      <x:c r="I27" s="66" t="str">
        <x:v>https://www.scopus.com/pages/publications/105028729958?origin=resultslist</x:v>
      </x:c>
      <x:c r="J27" s="66" t="str">
        <x:v>Review</x:v>
      </x:c>
      <x:c r="K27" s="66" t="str">
        <x:v>Recuperado</x:v>
      </x:c>
      <x:c r="L27" s="66" t="str">
        <x:v>Evaluado</x:v>
      </x:c>
      <x:c r="M27" s="66" t="str">
        <x:v>Incluir</x:v>
      </x:c>
      <x:c r="N27" s="66"/>
      <x:c r="O27" s="66" t="str">
        <x:v>Incluido como síntesis complementaria: integra determinantes conductuales con herramientas digitales y muestra que utilidad técnica, calibración local, explicabilidad, demostración en condiciones productivas, asesoría independiente, interoperabilidad y transferencia de riesgo deben actuar conjuntamente.</x:v>
      </x:c>
      <x:c r="P27" s="66" t="str">
        <x:v>Revisión sistemática PRISMA de 65 estudios europeos</x:v>
      </x:c>
      <x:c r="Q27" s="66" t="str">
        <x:v>Alta</x:v>
      </x:c>
      <x:c r="R27" s="66" t="str">
        <x:v>Perceptions to Precision Bridging the Gap Between Behavioral Drivers and Digital Tools for Sustainable Pesticide Use in Europe.pdf</x:v>
      </x:c>
      <x:c r="S27" s="66" t="str">
        <x:v>S1_SCOPUS_ID083_Perceptions_Precision_Sustainable_Pesticides.pdf</x:v>
      </x:c>
      <x:c r="T27" s="72" t="n">
        <x:v>46251</x:v>
      </x:c>
      <x:c r="U27" s="66" t="str">
        <x:v>Codex (revisión asistida)</x:v>
      </x:c>
      <x:c r="V27" s="66" t="str">
        <x:v>Lote 4 cerrado. Revalidado con el PDF recibido el 2026-08-18; sin cambio de decisión.</x:v>
      </x:c>
    </x:row>
    <x:row r="28">
      <x:c r="A28" s="69" t="n">
        <x:v>84</x:v>
      </x:c>
      <x:c r="B28" s="67" t="str">
        <x:v>A</x:v>
      </x:c>
      <x:c r="C28" s="67" t="str">
        <x:v>2-s2.0-85181817024</x:v>
      </x:c>
      <x:c r="D28" s="67" t="str">
        <x:v>Parra-López C.; Reina-Usuga L.; Garcia-Garcia G.; Carmona-Torres C.</x:v>
      </x:c>
      <x:c r="E28" s="71" t="n">
        <x:v>2024</x:v>
      </x:c>
      <x:c r="F28" s="67" t="str">
        <x:v>Functional analysis of technological innovation systems enabling digital transformation: A semi-quantitative multicriteria framework applied in the olive sector</x:v>
      </x:c>
      <x:c r="G28" s="67" t="str">
        <x:v>Agricultural Systems</x:v>
      </x:c>
      <x:c r="H28" s="67" t="str">
        <x:v>10.1016/j.agsy.2023.103848</x:v>
      </x:c>
      <x:c r="I28" s="67" t="str">
        <x:v>https://www.scopus.com/pages/publications/85181817024?origin=resultslist</x:v>
      </x:c>
      <x:c r="J28" s="67" t="str">
        <x:v>Article</x:v>
      </x:c>
      <x:c r="K28" s="67" t="str">
        <x:v>Recuperado</x:v>
      </x:c>
      <x:c r="L28" s="67" t="str">
        <x:v>Evaluado</x:v>
      </x:c>
      <x:c r="M28" s="67" t="str">
        <x:v>Incluir</x:v>
      </x:c>
      <x:c r="N28" s="67"/>
      <x:c r="O28" s="67" t="str">
        <x:v>Incluido como núcleo sistémico: aplica un análisis funcional del sistema de innovación y muestra que transferencia de conocimiento, actividad empresarial y movilización de recursos son cuellos de botella para la transformación digital del olivar andaluz.</x:v>
      </x:c>
      <x:c r="P28" s="67" t="str">
        <x:v>Marco TIS, AHP y panel de 34 especialistas del sector olivarero</x:v>
      </x:c>
      <x:c r="Q28" s="67" t="str">
        <x:v>Alta</x:v>
      </x:c>
      <x:c r="R28" s="67" t="str">
        <x:v>Functional analysis of technological innovation systems enabling digital.pdf</x:v>
      </x:c>
      <x:c r="S28" s="67" t="str">
        <x:v>S1_SCOPUS_ID084_TIS_Digital_Transformation_Olive_Sector.pdf</x:v>
      </x:c>
      <x:c r="T28" s="73" t="n">
        <x:v>46251</x:v>
      </x:c>
      <x:c r="U28" s="67" t="str">
        <x:v>Codex (revisión asistida)</x:v>
      </x:c>
      <x:c r="V28" s="67" t="str">
        <x:v>Lote 3 cerrado.</x:v>
      </x:c>
    </x:row>
    <x:row r="29">
      <x:c r="A29" s="68" t="n">
        <x:v>95</x:v>
      </x:c>
      <x:c r="B29" s="66" t="str">
        <x:v>A</x:v>
      </x:c>
      <x:c r="C29" s="66" t="str">
        <x:v>2-s2.0-105026895220</x:v>
      </x:c>
      <x:c r="D29" s="66" t="str">
        <x:v>Hohagen S.; Wilkens U.</x:v>
      </x:c>
      <x:c r="E29" s="70" t="n">
        <x:v>2025</x:v>
      </x:c>
      <x:c r="F29" s="66" t="str">
        <x:v>How to measure digital maturity in agriculture? Conceptual outline, instrument development and measurement results from German farms</x:v>
      </x:c>
      <x:c r="G29" s="66" t="str">
        <x:v>International Food and Agribusiness Management Review</x:v>
      </x:c>
      <x:c r="H29" s="66" t="str">
        <x:v>10.22434/ifamr.1027</x:v>
      </x:c>
      <x:c r="I29" s="66" t="str">
        <x:v>https://www.scopus.com/pages/publications/105026895220?origin=resultslist</x:v>
      </x:c>
      <x:c r="J29" s="66" t="str">
        <x:v>Article</x:v>
      </x:c>
      <x:c r="K29" s="66" t="str">
        <x:v>Recuperado</x:v>
      </x:c>
      <x:c r="L29" s="66" t="str">
        <x:v>Evaluado</x:v>
      </x:c>
      <x:c r="M29" s="66" t="str">
        <x:v>Incluir</x:v>
      </x:c>
      <x:c r="N29" s="66"/>
      <x:c r="O29" s="66" t="str">
        <x:v>Incluido como contraste conceptual directo: desarrolla un modelo de madurez de explotaciones que separa dimensiones humanas, tecnológicas y organizacionales y encuentra que capacidad humana y técnica puede coexistir con una integración organizacional rezagada.</x:v>
      </x:c>
      <x:c r="P29" s="66" t="str">
        <x:v>Modelo de madurez, 15 entrevistas expertas y encuesta a 123 explotaciones</x:v>
      </x:c>
      <x:c r="Q29" s="66" t="str">
        <x:v>Alta</x:v>
      </x:c>
      <x:c r="R29" s="66" t="str">
        <x:v>How to measure digital maturity in agriculture Conceptual outline, instrument development and measurement results from German farms.pdf</x:v>
      </x:c>
      <x:c r="S29" s="66" t="str">
        <x:v>S1_SCOPUS_ID095_Digital_Maturity_German_Farms.pdf</x:v>
      </x:c>
      <x:c r="T29" s="72" t="n">
        <x:v>46251</x:v>
      </x:c>
      <x:c r="U29" s="66" t="str">
        <x:v>Codex (revisión asistida)</x:v>
      </x:c>
      <x:c r="V29" s="66" t="str">
        <x:v>Lote 4 cerrado.</x:v>
      </x:c>
    </x:row>
    <x:row r="30">
      <x:c r="A30" s="69" t="n">
        <x:v>99</x:v>
      </x:c>
      <x:c r="B30" s="67" t="str">
        <x:v>A</x:v>
      </x:c>
      <x:c r="C30" s="67" t="str">
        <x:v>2-s2.0-85106498196</x:v>
      </x:c>
      <x:c r="D30" s="67" t="str">
        <x:v>Rijswijk K.; Klerkx L.; Bacco M.; Bartolini F.; Bulten E.; Debruyne L.; Dessein J.; Scotti I.; Brunori G.</x:v>
      </x:c>
      <x:c r="E30" s="71" t="n">
        <x:v>2021</x:v>
      </x:c>
      <x:c r="F30" s="67" t="str">
        <x:v>Digital transformation of agriculture and rural areas: A socio-cyber-physical system framework to support responsibilisation</x:v>
      </x:c>
      <x:c r="G30" s="67" t="str">
        <x:v>Journal of Rural Studies</x:v>
      </x:c>
      <x:c r="H30" s="67" t="str">
        <x:v>10.1016/j.jrurstud.2021.05.003</x:v>
      </x:c>
      <x:c r="I30" s="67" t="str">
        <x:v>https://www.scopus.com/pages/publications/85106498196?origin=resultslist</x:v>
      </x:c>
      <x:c r="J30" s="67" t="str">
        <x:v>Article</x:v>
      </x:c>
      <x:c r="K30" s="67" t="str">
        <x:v>Recuperado</x:v>
      </x:c>
      <x:c r="L30" s="67" t="str">
        <x:v>Evaluado</x:v>
      </x:c>
      <x:c r="M30" s="67" t="str">
        <x:v>Incluir</x:v>
      </x:c>
      <x:c r="N30" s="67"/>
      <x:c r="O30" s="67" t="str">
        <x:v>Incluido como fundamento conceptual central: el marco socio-ciber-físico integra diseño, acceso a tecnología y recursos, complejidad, interoperabilidad, reparación, poder y responsabilidad a lo largo de la transformación digital agrícola.</x:v>
      </x:c>
      <x:c r="P30" s="67" t="str">
        <x:v>Desarrollo de marco conceptual con ilustración en ganadería lechera digital</x:v>
      </x:c>
      <x:c r="Q30" s="67" t="str">
        <x:v>Alta</x:v>
      </x:c>
      <x:c r="R30" s="67" t="str">
        <x:v>Digital transformation of agriculture and rural areas A socio-cyber-physical.pdf</x:v>
      </x:c>
      <x:c r="S30" s="67" t="str">
        <x:v>S1_SCOPUS_ID099_Socio_Cyber_Physical_Responsibilisation.pdf</x:v>
      </x:c>
      <x:c r="T30" s="73" t="n">
        <x:v>46251</x:v>
      </x:c>
      <x:c r="U30" s="67" t="str">
        <x:v>Codex (revisión asistida)</x:v>
      </x:c>
      <x:c r="V30" s="67" t="str">
        <x:v>Lote 3 cerrado.</x:v>
      </x:c>
    </x:row>
    <x:row r="31">
      <x:c r="A31" s="68" t="n">
        <x:v>107</x:v>
      </x:c>
      <x:c r="B31" s="66" t="str">
        <x:v>B</x:v>
      </x:c>
      <x:c r="C31" s="66" t="str">
        <x:v>2-s2.0-105039967963</x:v>
      </x:c>
      <x:c r="D31" s="66" t="str">
        <x:v>Rodríguez-Yparraguirre C.D.; Rodríguez-Yparraguirre A.J.; Moreno-Rojo C.; Castañeda-Rodríguez W.A.; Saavedra-Vera J.V.; Lopez-Carranza A.R.; Olivares-Espino I.M.; Epifania-Huerta A.D.; Guarniz-Vásquez E.; Maco-Vasquez W.A.</x:v>
      </x:c>
      <x:c r="E31" s="70" t="n">
        <x:v>2026</x:v>
      </x:c>
      <x:c r="F31" s="66" t="str">
        <x:v>Advances in Emerging Digital Technologies for Sustainable Agriculture: Applications and Future Perspectives</x:v>
      </x:c>
      <x:c r="G31" s="66" t="str">
        <x:v>Earth (Switzerland)</x:v>
      </x:c>
      <x:c r="H31" s="66" t="str">
        <x:v>10.3390/earth7020063</x:v>
      </x:c>
      <x:c r="I31" s="66" t="str">
        <x:v>https://www.scopus.com/pages/publications/105039967963?origin=resultslist</x:v>
      </x:c>
      <x:c r="J31" s="66" t="str">
        <x:v>Review</x:v>
      </x:c>
      <x:c r="K31" s="66" t="str">
        <x:v>Recuperado</x:v>
      </x:c>
      <x:c r="L31" s="66" t="str">
        <x:v>Evaluado</x:v>
      </x:c>
      <x:c r="M31" s="66" t="str">
        <x:v>Incluir</x:v>
      </x:c>
      <x:c r="N31" s="66" t="str"/>
      <x:c r="O31" s="66" t="str">
        <x:v>Incluido como evidencia contextual reciente: sintetiza que el alto desempeño técnico no resuelve interoperabilidad, infraestructura, mantenimiento, repuestos, habilidades, soporte, costos ni validación longitudinal.</x:v>
      </x:c>
      <x:c r="P31" s="66" t="str">
        <x:v>Revisión sistemática y mapa de evidencia PRISMA</x:v>
      </x:c>
      <x:c r="Q31" s="66" t="str">
        <x:v>Moderada</x:v>
      </x:c>
      <x:c r="R31" s="66" t="str">
        <x:v>Advances in Emerging Digital Technologies for Sustainable Agriculture Applications and Future Perspectives.pdf</x:v>
      </x:c>
      <x:c r="S31" s="66" t="str">
        <x:v>S1_SCOPUS_ID107_Emerging_Digital_Technologies_Sustainable_Agriculture.pdf</x:v>
      </x:c>
      <x:c r="T31" s="72" t="n">
        <x:v>46251</x:v>
      </x:c>
      <x:c r="U31" s="66" t="str">
        <x:v>Codex (revisión asistida)</x:v>
      </x:c>
      <x:c r="V31" s="66" t="str">
        <x:v>Lote 1 cerrado.</x:v>
      </x:c>
    </x:row>
    <x:row r="32">
      <x:c r="A32" s="69" t="n">
        <x:v>114</x:v>
      </x:c>
      <x:c r="B32" s="67" t="str">
        <x:v>B</x:v>
      </x:c>
      <x:c r="C32" s="67" t="str">
        <x:v>2-s2.0-105005118563</x:v>
      </x:c>
      <x:c r="D32" s="67" t="str">
        <x:v>Ornelas Herrera S.I.; Baba Y.; Erraach Y.; Ouertani E.; Arfa L.; Çamoğlu S.M.; de-Magistris T.; Kallas Z.</x:v>
      </x:c>
      <x:c r="E32" s="71" t="n">
        <x:v>2025</x:v>
      </x:c>
      <x:c r="F32" s="67" t="str">
        <x:v>Analysing blockchain adoption in beekeeping: application of theoretical models and their effectiveness</x:v>
      </x:c>
      <x:c r="G32" s="67" t="str">
        <x:v>Frontiers in Sustainable Food Systems</x:v>
      </x:c>
      <x:c r="H32" s="67" t="str">
        <x:v>10.3389/fsufs.2025.1566341</x:v>
      </x:c>
      <x:c r="I32" s="67" t="str">
        <x:v>https://www.scopus.com/pages/publications/105005118563?origin=resultslist</x:v>
      </x:c>
      <x:c r="J32" s="67" t="str">
        <x:v>Article</x:v>
      </x:c>
      <x:c r="K32" s="67" t="str">
        <x:v>Recuperado</x:v>
      </x:c>
      <x:c r="L32" s="67" t="str">
        <x:v>Evaluado</x:v>
      </x:c>
      <x:c r="M32" s="67" t="str">
        <x:v>Incluir</x:v>
      </x:c>
      <x:c r="N32" s="67"/>
      <x:c r="O32" s="67" t="str">
        <x:v>Incluido como contraste empírico de adopción: compara TAM y TPB ampliados con madurez digital en 159 apicultores de España, Túnez y Türkiye e identifica utilidad, facilidad, control y recursos como condiciones de intención de uso.</x:v>
      </x:c>
      <x:c r="P32" s="67" t="str">
        <x:v>Encuesta multinacional y modelos TAM/TPB ampliados</x:v>
      </x:c>
      <x:c r="Q32" s="67" t="str">
        <x:v>Moderada</x:v>
      </x:c>
      <x:c r="R32" s="67" t="str">
        <x:v>Analysing blockchain adoption in beekeeping application of theoretical models and their effectiveness.pdf</x:v>
      </x:c>
      <x:c r="S32" s="67" t="str">
        <x:v>S1_SCOPUS_ID114_Blockchain_Adoption_Beekeeping.pdf</x:v>
      </x:c>
      <x:c r="T32" s="73" t="n">
        <x:v>46251</x:v>
      </x:c>
      <x:c r="U32" s="67" t="str">
        <x:v>Codex (revisión asistida)</x:v>
      </x:c>
      <x:c r="V32" s="67" t="str">
        <x:v>Lote 2 cerrado.</x:v>
      </x:c>
    </x:row>
    <x:row r="33">
      <x:c r="A33" s="68" t="n">
        <x:v>116</x:v>
      </x:c>
      <x:c r="B33" s="66" t="str">
        <x:v>A</x:v>
      </x:c>
      <x:c r="C33" s="66" t="str">
        <x:v>2-s2.0-85189093784</x:v>
      </x:c>
      <x:c r="D33" s="66" t="str">
        <x:v>Johnson D.</x:v>
      </x:c>
      <x:c r="E33" s="70" t="n">
        <x:v>2024</x:v>
      </x:c>
      <x:c r="F33" s="66" t="str">
        <x:v>Food security, the agriculture value chain, and digital transformation: The case of Jamaica's agricultural business information system (ABIS)</x:v>
      </x:c>
      <x:c r="G33" s="66" t="str">
        <x:v>Technology in Society</x:v>
      </x:c>
      <x:c r="H33" s="66" t="str">
        <x:v>10.1016/j.techsoc.2024.102523</x:v>
      </x:c>
      <x:c r="I33" s="66" t="str">
        <x:v>https://www.scopus.com/pages/publications/85189093784?origin=resultslist</x:v>
      </x:c>
      <x:c r="J33" s="66" t="str">
        <x:v>Article</x:v>
      </x:c>
      <x:c r="K33" s="66" t="str">
        <x:v>Recuperado</x:v>
      </x:c>
      <x:c r="L33" s="66" t="str">
        <x:v>Evaluado</x:v>
      </x:c>
      <x:c r="M33" s="66" t="str">
        <x:v>Incluir</x:v>
      </x:c>
      <x:c r="N33" s="66"/>
      <x:c r="O33" s="66" t="str">
        <x:v>Incluido como caso empírico negativo de despliegue: ABIS muestra que una plataforma disponible puede perder uso cuando el flujo de trabajo, la usabilidad, conectividad, dispositivos, habilidades, confianza, seguimiento y soporte institucional no sostienen la operación.</x:v>
      </x:c>
      <x:c r="P33" s="66" t="str">
        <x:v>Estudio de caso cualitativo con entrevistas, grupos focales, observación y documentos</x:v>
      </x:c>
      <x:c r="Q33" s="66" t="str">
        <x:v>Alta</x:v>
      </x:c>
      <x:c r="R33" s="66" t="str">
        <x:v>Food security, the agriculture value chain, and digital transformation.pdf</x:v>
      </x:c>
      <x:c r="S33" s="66" t="str">
        <x:v>S1_SCOPUS_ID116_Jamaica_ABIS_Digital_Transformation.pdf</x:v>
      </x:c>
      <x:c r="T33" s="72" t="n">
        <x:v>46251</x:v>
      </x:c>
      <x:c r="U33" s="66" t="str">
        <x:v>Codex (revisión asistida)</x:v>
      </x:c>
      <x:c r="V33" s="66" t="str">
        <x:v>Lote 3 cerrado.</x:v>
      </x:c>
    </x:row>
    <x:row r="34">
      <x:c r="A34" s="69" t="n">
        <x:v>117</x:v>
      </x:c>
      <x:c r="B34" s="67" t="str">
        <x:v>A</x:v>
      </x:c>
      <x:c r="C34" s="67" t="str">
        <x:v>2-s2.0-105013887418</x:v>
      </x:c>
      <x:c r="D34" s="67" t="str">
        <x:v>Zhang A.; Maxwell C.; Tacconi F.; Lythall A.; Smith D.; Guan X.</x:v>
      </x:c>
      <x:c r="E34" s="71" t="n">
        <x:v>2025</x:v>
      </x:c>
      <x:c r="F34" s="67" t="str">
        <x:v>Supporting ecosystem for farmers' food traceability participation: A systematic review</x:v>
      </x:c>
      <x:c r="G34" s="67" t="str">
        <x:v>Journal of Agriculture and Food Research</x:v>
      </x:c>
      <x:c r="H34" s="67" t="str">
        <x:v>10.1016/j.jafr.2025.102288</x:v>
      </x:c>
      <x:c r="I34" s="67" t="str">
        <x:v>https://www.scopus.com/pages/publications/105013887418?origin=resultslist</x:v>
      </x:c>
      <x:c r="J34" s="67" t="str">
        <x:v>Review</x:v>
      </x:c>
      <x:c r="K34" s="67" t="str">
        <x:v>Recuperado</x:v>
      </x:c>
      <x:c r="L34" s="67" t="str">
        <x:v>Evaluado</x:v>
      </x:c>
      <x:c r="M34" s="67" t="str">
        <x:v>Incluir</x:v>
      </x:c>
      <x:c r="N34" s="67"/>
      <x:c r="O34" s="67" t="str">
        <x:v>Incluido como núcleo conceptual: el DMFTI articula valor y cultura, tecnología, datos, capacidad y uso compartido de datos como un ecosistema interdependiente para la participación del agricultor en trazabilidad digital.</x:v>
      </x:c>
      <x:c r="P34" s="67" t="str">
        <x:v>Revisión sistemática PRISMA de 39 estudios y desarrollo del DMFTI</x:v>
      </x:c>
      <x:c r="Q34" s="67" t="str">
        <x:v>Alta</x:v>
      </x:c>
      <x:c r="R34" s="67" t="str">
        <x:v>Supporting ecosystem for farmers’ food traceability participation.pdf</x:v>
      </x:c>
      <x:c r="S34" s="67" t="str">
        <x:v>S1_SCOPUS_ID117_Food_Traceability_Supporting_Ecosystem.pdf</x:v>
      </x:c>
      <x:c r="T34" s="73" t="n">
        <x:v>46251</x:v>
      </x:c>
      <x:c r="U34" s="67" t="str">
        <x:v>Codex (revisión asistida)</x:v>
      </x:c>
      <x:c r="V34" s="67" t="str">
        <x:v>Lote 4 cerrado. Revalidado con el PDF recibido el 2026-08-18; sin cambio de decisión.</x:v>
      </x:c>
    </x:row>
    <x:row r="35">
      <x:c r="A35" s="68" t="n">
        <x:v>127</x:v>
      </x:c>
      <x:c r="B35" s="66" t="str">
        <x:v>B</x:v>
      </x:c>
      <x:c r="C35" s="66" t="str">
        <x:v>2-s2.0-105003742942</x:v>
      </x:c>
      <x:c r="D35" s="66" t="str">
        <x:v>Barbosa M.W.; Salume P.K.; Pinto M.R.; de Sousa P.R.</x:v>
      </x:c>
      <x:c r="E35" s="70" t="n">
        <x:v>2025</x:v>
      </x:c>
      <x:c r="F35" s="66" t="str">
        <x:v>The effects of digital maturity on the sustainable performance of agri-food supply chains in two emerging economies</x:v>
      </x:c>
      <x:c r="G35" s="66" t="str">
        <x:v>International Journal of Logistics Management</x:v>
      </x:c>
      <x:c r="H35" s="66" t="str">
        <x:v>10.1108/IJLM-03-2024-0144</x:v>
      </x:c>
      <x:c r="I35" s="66" t="str">
        <x:v>https://www.scopus.com/pages/publications/105003742942?origin=resultslist</x:v>
      </x:c>
      <x:c r="J35" s="66" t="str">
        <x:v>Article</x:v>
      </x:c>
      <x:c r="K35" s="66" t="str">
        <x:v>No recuperado</x:v>
      </x:c>
      <x:c r="L35" s="66" t="str">
        <x:v>No evaluable</x:v>
      </x:c>
      <x:c r="M35" s="66" t="str">
        <x:v>No evaluable</x:v>
      </x:c>
      <x:c r="N35" s="66" t="str">
        <x:v>E07</x:v>
      </x:c>
      <x:c r="O35" s="66" t="str">
        <x:v>No se logró recuperar el texto completo tras la búsqueda documental. Se registra como E07 para control PRISMA; no constituye una exclusión después de lectura a texto completo.</x:v>
      </x:c>
      <x:c r="P35" s="66" t="str">
        <x:v>No disponible</x:v>
      </x:c>
      <x:c r="Q35" s="66" t="str">
        <x:v>No evaluable</x:v>
      </x:c>
      <x:c r="R35" s="66"/>
      <x:c r="S35" s="66"/>
      <x:c r="T35" s="72" t="n">
        <x:v>46252</x:v>
      </x:c>
      <x:c r="U35" s="66" t="str">
        <x:v>Codex (control documental)</x:v>
      </x:c>
      <x:c r="V35" s="66" t="str">
        <x:v>Lote 6 cerrado. E07 — reporte no recuperado; no se contabiliza como exclusión a texto completo.</x:v>
      </x:c>
    </x:row>
    <x:row r="36">
      <x:c r="A36" s="69" t="n">
        <x:v>130</x:v>
      </x:c>
      <x:c r="B36" s="67" t="str">
        <x:v>B</x:v>
      </x:c>
      <x:c r="C36" s="67" t="str">
        <x:v>2-s2.0-85213211065</x:v>
      </x:c>
      <x:c r="D36" s="67" t="str">
        <x:v>Yuan Y.; Sun Y.</x:v>
      </x:c>
      <x:c r="E36" s="71" t="n">
        <x:v>2024</x:v>
      </x:c>
      <x:c r="F36" s="67" t="str">
        <x:v>Practices, Challenges, and Future of Digital Transformation in Smallholder Agriculture: Insights from a Literature Review</x:v>
      </x:c>
      <x:c r="G36" s="67" t="str">
        <x:v>Agriculture (Switzerland)</x:v>
      </x:c>
      <x:c r="H36" s="67" t="str">
        <x:v>10.3390/agriculture14122193</x:v>
      </x:c>
      <x:c r="I36" s="67" t="str">
        <x:v>https://www.scopus.com/pages/publications/85213211065?origin=resultslist</x:v>
      </x:c>
      <x:c r="J36" s="67" t="str">
        <x:v>Review</x:v>
      </x:c>
      <x:c r="K36" s="67" t="str">
        <x:v>Recuperado</x:v>
      </x:c>
      <x:c r="L36" s="67" t="str">
        <x:v>Evaluado</x:v>
      </x:c>
      <x:c r="M36" s="67" t="str">
        <x:v>Incluir</x:v>
      </x:c>
      <x:c r="N36" s="67"/>
      <x:c r="O36" s="67" t="str">
        <x:v>Incluido como síntesis contextual: organiza prácticas y barreras de la transformación digital de pequeños productores y destaca infraestructura, costo, pertinencia local, alfabetización, idioma, inclusión, cooperativas, apoyo institucional y derechos sobre datos.</x:v>
      </x:c>
      <x:c r="P36" s="67" t="str">
        <x:v>Revisión de 86 estudios y marco gobierno-tecnología-pequeños productores</x:v>
      </x:c>
      <x:c r="Q36" s="67" t="str">
        <x:v>Moderada</x:v>
      </x:c>
      <x:c r="R36" s="67" t="str">
        <x:v>Practices, Challenges, and Future of Digital Transformation in Smallholder Agriculture Insights from a Literature Review.pdf</x:v>
      </x:c>
      <x:c r="S36" s="67" t="str">
        <x:v>S1_SCOPUS_ID130_Digital_Transformation_Smallholder_Agriculture.pdf</x:v>
      </x:c>
      <x:c r="T36" s="73" t="n">
        <x:v>46251</x:v>
      </x:c>
      <x:c r="U36" s="67" t="str">
        <x:v>Codex (revisión asistida)</x:v>
      </x:c>
      <x:c r="V36" s="67" t="str">
        <x:v>Lote 4 cerrado. Revalidado con el PDF recibido el 2026-08-18; sin cambio de decisión.</x:v>
      </x:c>
    </x:row>
  </x:sheetData>
  <x:mergeCells>
    <x:mergeCell ref="A1:V1"/>
    <x:mergeCell ref="A2:V2"/>
  </x:mergeCells>
  <x:conditionalFormatting sqref="K5:K36">
    <x:cfRule type="containsText" dxfId="2" priority="1" operator="containsText" text="Recuperado"/>
    <x:cfRule type="containsText" dxfId="3" priority="2" operator="containsText" text="No recuperado"/>
    <x:cfRule type="containsText" dxfId="4" priority="3" operator="containsText" text="Por confirmar"/>
  </x:conditionalFormatting>
  <x:conditionalFormatting sqref="M5:M36">
    <x:cfRule type="containsText" dxfId="5" priority="4" operator="containsText" text="Incluir"/>
    <x:cfRule type="containsText" dxfId="6" priority="5" operator="containsText" text="Excluir"/>
    <x:cfRule type="containsText" dxfId="7" priority="6" operator="containsText" text="Pendiente"/>
  </x:conditionalFormatting>
  <x:dataValidations count="5">
    <x:dataValidation type="list" sqref="K5:K36">
      <x:formula1>"Recuperado,No recuperado,Por confirmar"</x:formula1>
    </x:dataValidation>
    <x:dataValidation type="list" sqref="L5:L36">
      <x:formula1>"Pendiente,Evaluado,No evaluable"</x:formula1>
    </x:dataValidation>
    <x:dataValidation type="list" sqref="M5:M36">
      <x:formula1>"Pendiente,Incluir,Excluir"</x:formula1>
    </x:dataValidation>
    <x:dataValidation type="list" sqref="N5:N36">
      <x:formula1>"E01,E02,E03,E04,E05,E06,E07"</x:formula1>
    </x:dataValidation>
    <x:dataValidation type="list" sqref="Q5:Q36">
      <x:formula1>"Alta,Moderada,Moderada-baja,Baja,Pendiente"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40" hidden="0" customWidth="1"/>
    <x:col min="4" max="4" width="48" hidden="0" customWidth="1"/>
    <x:col min="5" max="5" width="36" hidden="0" customWidth="1"/>
    <x:col min="6" max="6" width="45" hidden="0" customWidth="1"/>
    <x:col min="7" max="7" width="26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20" hidden="0" customWidth="1"/>
    <x:col min="13" max="13" width="22" hidden="0" customWidth="1"/>
    <x:col min="14" max="14" width="48" hidden="0" customWidth="1"/>
    <x:col min="15" max="15" width="48" hidden="0" customWidth="1"/>
  </x:cols>
  <x:sheetData>
    <x:row r="1" ht="36" customHeight="1">
      <x:c r="A1" s="3" t="str">
        <x:v>S1 — matriz de trazabilidad conceptual</x:v>
      </x:c>
    </x:row>
    <x:row r="2" ht="34" customHeight="1">
      <x:c r="A2" s="7" t="str">
        <x:v>La matriz registra qué afirmación respalda cada fuente, en qué nivel opera y cuál es su relación real —directa, parcial o interpretativa— con A³M.</x:v>
      </x:c>
    </x:row>
    <x:row r="4" ht="46" customHeight="1">
      <x:c r="A4" s="61" t="str">
        <x:v>ID_S1</x:v>
      </x:c>
      <x:c r="B4" s="61" t="str">
        <x:v>Título</x:v>
      </x:c>
      <x:c r="C4" s="61" t="str">
        <x:v>Concepto_principal</x:v>
      </x:c>
      <x:c r="D4" s="61" t="str">
        <x:v>Afirmación_específica_respaldada</x:v>
      </x:c>
      <x:c r="E4" s="61" t="str">
        <x:v>Ubicación_evidencia</x:v>
      </x:c>
      <x:c r="F4" s="61" t="str">
        <x:v>Relación_con_A3M</x:v>
      </x:c>
      <x:c r="G4" s="61" t="str">
        <x:v>Nivel_análisis</x:v>
      </x:c>
      <x:c r="H4" s="61" t="str">
        <x:v>I12</x:v>
      </x:c>
      <x:c r="I4" s="61" t="str">
        <x:v>I23</x:v>
      </x:c>
      <x:c r="J4" s="61" t="str">
        <x:v>I3M</x:v>
      </x:c>
      <x:c r="K4" s="61" t="str">
        <x:v>IM1</x:v>
      </x:c>
      <x:c r="L4" s="61" t="str">
        <x:v>Tipo_relación</x:v>
      </x:c>
      <x:c r="M4" s="61" t="str">
        <x:v>Rol_corpus</x:v>
      </x:c>
      <x:c r="N4" s="61" t="str">
        <x:v>Limitación_principal</x:v>
      </x:c>
      <x:c r="O4" s="61" t="str">
        <x:v>Recomendación_de_uso</x:v>
      </x:c>
    </x:row>
    <x:row r="5">
      <x:c r="A5" s="68" t="n">
        <x:v>7</x:v>
      </x:c>
      <x:c r="B5" s="66" t="str">
        <x:v>An internet of things adoption framework for the South African farming industry</x:v>
      </x:c>
      <x:c r="C5" s="66" t="str">
        <x:v>Framework contextual de adopción de IoT con cinco factores interdependientes: integración tecnológica, viabilidad económica, formación, sostenibilidad y apoyo político-regulatorio.</x:v>
      </x:c>
      <x:c r="D5" s="66" t="str">
        <x:v>La adopción de IoT no depende de un único atributo; requiere compatibilidad con prácticas existentes, infraestructura, financiación, capacitación y soporte institucional que actúan de forma conjunta.</x:v>
      </x:c>
      <x:c r="E5" s="66" t="str">
        <x:v>Metodología, pp. 359-360; síntesis y framework, pp. 363-365; discusión y conclusión, pp. 365-366.</x:v>
      </x:c>
      <x:c r="F5" s="66" t="str">
        <x:v>Delimita condiciones previas de adopción y recursos del entorno. Informa M e I3M, pero no demuestra continuidad, mantenimiento ni aprendizaje de un despliegue delimitado.</x:v>
      </x:c>
      <x:c r="G5" s="66" t="str">
        <x:v>Productor/finca y sector agrícola sudafricano</x:v>
      </x:c>
      <x:c r="H5" s="66" t="str">
        <x:v>Parcial</x:v>
      </x:c>
      <x:c r="I5" s="66" t="str">
        <x:v>Parcial</x:v>
      </x:c>
      <x:c r="J5" s="66" t="str">
        <x:v>Sí</x:v>
      </x:c>
      <x:c r="K5" s="66" t="str">
        <x:v>No</x:v>
      </x:c>
      <x:c r="L5" s="66" t="str">
        <x:v>Parcial</x:v>
      </x:c>
      <x:c r="M5" s="66" t="str">
        <x:v>Contraste conceptual</x:v>
      </x:c>
      <x:c r="N5" s="66" t="str">
        <x:v>Síntesis de 15 estudios realizada por un solo revisor; el framework no se validó mediante implementaciones reales y su resultado de interés es adopción.</x:v>
      </x:c>
      <x:c r="O5" s="66" t="str">
        <x:v>Usar para distinguir adopción de integración sostenida y para contextualizar infraestructura, formación y apoyo institucional; no usar como prueba de continuidad operacional.</x:v>
      </x:c>
    </x:row>
    <x:row r="6">
      <x:c r="A6" s="69" t="n">
        <x:v>46</x:v>
      </x:c>
      <x:c r="B6" s="67" t="str">
        <x:v>A concept for application of integrated digital technologies to enhance future smart agricultural systems</x:v>
      </x:c>
      <x:c r="C6" s="67" t="str">
        <x:v>Concepto de integración de tecnologías digitales y datos agrícolas heterogéneos en una plataforma de apoyo a decisiones con gobierno y seguridad.</x:v>
      </x:c>
      <x:c r="D6" s="67" t="str">
        <x:v>La disponibilidad de tecnologías aisladas no produce integración: se requieren gestión de datos heterogéneos, interoperabilidad, gobierno, acceso comprensible para usuarios y coordinación multiactor.</x:v>
      </x:c>
      <x:c r="E6" s="67" t="str">
        <x:v>Objetivo y metodología, pp. 2-3; concepto propuesto, pp. 5-7; desafíos de implementación y limitaciones, pp. 9-10.</x:v>
      </x:c>
      <x:c r="F6" s="67" t="str">
        <x:v>Aporta una arquitectura de A3 y dependencias de integración hacia M. La relación con tareas y requisitos es general y la solución no fue implementada.</x:v>
      </x:c>
      <x:c r="G6" s="67" t="str">
        <x:v>Sistema de agricultura inteligente/finca y red de actores</x:v>
      </x:c>
      <x:c r="H6" s="67" t="str">
        <x:v>Parcial</x:v>
      </x:c>
      <x:c r="I6" s="67" t="str">
        <x:v>Parcial</x:v>
      </x:c>
      <x:c r="J6" s="67" t="str">
        <x:v>Parcial</x:v>
      </x:c>
      <x:c r="K6" s="67" t="str">
        <x:v>No</x:v>
      </x:c>
      <x:c r="L6" s="67" t="str">
        <x:v>Parcial</x:v>
      </x:c>
      <x:c r="M6" s="67" t="str">
        <x:v>Núcleo conceptual</x:v>
      </x:c>
      <x:c r="N6" s="67" t="str">
        <x:v>Concepto prospectivo sin desarrollo, prueba de campo ni evaluación longitudinal; los beneficios se formulan como potenciales.</x:v>
      </x:c>
      <x:c r="O6" s="67" t="str">
        <x:v>Usar para mostrar la diferencia entre ensamblar tecnologías y demostrar integración operativa, y para identificar dependencias de datos, interoperabilidad y gobierno.</x:v>
      </x:c>
    </x:row>
    <x:row r="7">
      <x:c r="A7" s="68" t="n">
        <x:v>53</x:v>
      </x:c>
      <x:c r="B7" s="66" t="str">
        <x:v>An integrated socio-cyber-physical system framework to assess responsible digitalisation in agriculture: A first application with Living Labs in Europe</x:v>
      </x:c>
      <x:c r="C7" s="66" t="str">
        <x:v>Marco socio-ciber-físico integrado con RRI para evaluar entidades, relaciones, actividades e impactos habilitantes, deshabilitantes, potenciadores y agotadores.</x:v>
      </x:c>
      <x:c r="D7" s="66" t="str">
        <x:v>La digitalización responsable depende simultáneamente del diseño tecnológico, las condiciones de acceso -costos, habilidades, conectividad y reparación- y la dinámica del sistema y su contexto.</x:v>
      </x:c>
      <x:c r="E7" s="66" t="str">
        <x:v>Resumen e introducción, pp. 1-3; marco conceptual y método, pp. 3-8; resultados, pp. 10-13; discusión y limitaciones, pp. 14-16.</x:v>
      </x:c>
      <x:c r="F7" s="66" t="str">
        <x:v>Fundamenta la visión sociotécnica de A3M, la contextualización de I12 y las dependencias de acceso y soporte de I3M; aporta iteración participativa y temporalidad para IM1.</x:v>
      </x:c>
      <x:c r="G7" s="66" t="str">
        <x:v>Multinivel: finca, actividad, cadena, comunidad y territorio</x:v>
      </x:c>
      <x:c r="H7" s="66" t="str">
        <x:v>Sí</x:v>
      </x:c>
      <x:c r="I7" s="66" t="str">
        <x:v>Parcial</x:v>
      </x:c>
      <x:c r="J7" s="66" t="str">
        <x:v>Sí</x:v>
      </x:c>
      <x:c r="K7" s="66" t="str">
        <x:v>Parcial</x:v>
      </x:c>
      <x:c r="L7" s="66" t="str">
        <x:v>Directo</x:v>
      </x:c>
      <x:c r="M7" s="66" t="str">
        <x:v>Núcleo conceptual</x:v>
      </x:c>
      <x:c r="N7" s="66" t="str">
        <x:v>Los 21 Living Labs son heterogéneos; el marco es complejo, multiescalar y no localiza por sí solo una ruptura dentro de un despliegue automatizado delimitado.</x:v>
      </x:c>
      <x:c r="O7" s="66" t="str">
        <x:v>Usar como fundamento sociotécnico principal y para justificar que tecnología, actores, infraestructura, acceso y contexto deben analizarse como relaciones.</x:v>
      </x:c>
    </x:row>
    <x:row r="8">
      <x:c r="A8" s="69" t="n">
        <x:v>56</x:v>
      </x:c>
      <x:c r="B8" s="67" t="str">
        <x:v>A Framework to Measure Maturity of Industrial IoT Technology for Agricultural Regulatory Compliance Activities and Decentralization</x:v>
      </x:c>
      <x:c r="C8" s="67" t="str">
        <x:v>Technology Readiness Assessment Framework for Compliance (TRAFC) y esquema descentralizado de responsabilidades para RegTech agrícola.</x:v>
      </x:c>
      <x:c r="D8" s="67" t="str">
        <x:v>La preparación de una tecnología debe evaluarse contra entrega, resolución, integridad de datos, automatización, interoperabilidad y disponibilidad; el despliegue además exige cobertura temporal-espacial, responsabilidades, fiabilidad y redundancia.</x:v>
      </x:c>
      <x:c r="E8" s="67" t="str">
        <x:v>Resumen e introducción, pp. 1-3; TRAFC, sección 3.3, pp. 8-16; framework descentralizado y gestión de riesgos, secciones 4.1-4.4, pp. 18-20.</x:v>
      </x:c>
      <x:c r="F8" s="67" t="str">
        <x:v>Ofrece una trazabilidad cercana a I12 e I23 y evidencia conceptual directa para I3M mediante responsabilidades, soporte, disponibilidad y redundancia.</x:v>
      </x:c>
      <x:c r="G8" s="67" t="str">
        <x:v>Tecnología, proceso regulatorio y cadena agroalimentaria</x:v>
      </x:c>
      <x:c r="H8" s="67" t="str">
        <x:v>Sí</x:v>
      </x:c>
      <x:c r="I8" s="67" t="str">
        <x:v>Sí</x:v>
      </x:c>
      <x:c r="J8" s="67" t="str">
        <x:v>Sí</x:v>
      </x:c>
      <x:c r="K8" s="67" t="str">
        <x:v>Parcial</x:v>
      </x:c>
      <x:c r="L8" s="67" t="str">
        <x:v>Directo</x:v>
      </x:c>
      <x:c r="M8" s="67" t="str">
        <x:v>Núcleo conceptual</x:v>
      </x:c>
      <x:c r="N8" s="67" t="str">
        <x:v>La clasificación de madurez se deriva de literatura y juicio analítico; no se valida con un despliegue RegTech real ni con seguimiento longitudinal.</x:v>
      </x:c>
      <x:c r="O8" s="67" t="str">
        <x:v>Usar para sustentar trazabilidad requisito-capacidad, disponibilidad, responsabilidad y redundancia; declarar que su marco permanece conceptual.</x:v>
      </x:c>
    </x:row>
    <x:row r="9">
      <x:c r="A9" s="68" t="n">
        <x:v>68</x:v>
      </x:c>
      <x:c r="B9" s="66" t="str">
        <x:v>A capability maturity model for assessing digital integration in smart farming</x:v>
      </x:c>
      <x:c r="C9" s="66" t="str">
        <x:v>CMM-SF con cinco niveles y seis dimensiones: procesos, personas y cultura, estrategia, tecnología, gobierno digital y datos/analítica.</x:v>
      </x:c>
      <x:c r="D9" s="66" t="str">
        <x:v>La integración digital depende de capacidades técnicas y organizacionales complementarias y puede quedar limitada por la dimensión más débil aunque otras capacidades sean avanzadas.</x:v>
      </x:c>
      <x:c r="E9" s="66" t="str">
        <x:v>Introducción y antecedentes, pp. 1-5; metodología y requisitos, pp. 5-7; aplicación y discusión de tres casos, pp. 8-12.</x:v>
      </x:c>
      <x:c r="F9" s="66" t="str">
        <x:v>Fundamenta M e I3M y permite diferenciar una evaluación global de madurez del diagnóstico situado por interfaces propuesto en A3M.</x:v>
      </x:c>
      <x:c r="G9" s="66" t="str">
        <x:v>Finca/empresa agroalimentaria</x:v>
      </x:c>
      <x:c r="H9" s="66" t="str">
        <x:v>Parcial</x:v>
      </x:c>
      <x:c r="I9" s="66" t="str">
        <x:v>Parcial</x:v>
      </x:c>
      <x:c r="J9" s="66" t="str">
        <x:v>Sí</x:v>
      </x:c>
      <x:c r="K9" s="66" t="str">
        <x:v>Parcial</x:v>
      </x:c>
      <x:c r="L9" s="66" t="str">
        <x:v>Directo</x:v>
      </x:c>
      <x:c r="M9" s="66" t="str">
        <x:v>Núcleo conceptual</x:v>
      </x:c>
      <x:c r="N9" s="66" t="str">
        <x:v>Solo tres casos neerlandeses y seis participantes; una sede es experimental. La puntuación global y la regla del eslabón más débil no reconstruyen el proceso causal de un despliegue particular.</x:v>
      </x:c>
      <x:c r="O9" s="66" t="str">
        <x:v>Usar para posicionar A3M frente a los modelos de madurez y justificar la integración conjunta de capacidades técnicas y organizacionales.</x:v>
      </x:c>
    </x:row>
    <x:row r="10">
      <x:c r="A10" s="69" t="n">
        <x:v>107</x:v>
      </x:c>
      <x:c r="B10" s="67" t="str">
        <x:v>Advances in Emerging Digital Technologies for Sustainable Agriculture: Applications and Future Perspectives</x:v>
      </x:c>
      <x:c r="C10" s="67" t="str">
        <x:v>Mapa de evidencia sobre tecnologías digitales emergentes y transición gradual desde soluciones aisladas hacia ecosistemas agrícolas integrados.</x:v>
      </x:c>
      <x:c r="D10" s="67" t="str">
        <x:v>Los beneficios experimentales de IA, IoT y automatización no garantizan escalabilidad: la integración sostenida requiere interoperabilidad, conectividad, energía, mantenimiento, repuestos, capacidades locales y validación de largo plazo.</x:v>
      </x:c>
      <x:c r="E10" s="67" t="str">
        <x:v>Métodos, pp. 4-8; barreras, secciones 6.1-6.4, pp. 29-31; transición por fases, sección 7.5, pp. 35-36; conclusiones, pp. 36-37.</x:v>
      </x:c>
      <x:c r="F10" s="67" t="str">
        <x:v>Aporta evidencia secundaria para condiciones de I12, adecuación/validación de I23 y soportabilidad de I3M; solo recomienda longitudinalidad para IM1.</x:v>
      </x:c>
      <x:c r="G10" s="67" t="str">
        <x:v>Síntesis sectorial de aplicaciones y pilotos agrícolas</x:v>
      </x:c>
      <x:c r="H10" s="67" t="str">
        <x:v>Parcial</x:v>
      </x:c>
      <x:c r="I10" s="67" t="str">
        <x:v>Parcial</x:v>
      </x:c>
      <x:c r="J10" s="67" t="str">
        <x:v>Sí</x:v>
      </x:c>
      <x:c r="K10" s="67" t="str">
        <x:v>Parcial</x:v>
      </x:c>
      <x:c r="L10" s="67" t="str">
        <x:v>Parcial</x:v>
      </x:c>
      <x:c r="M10" s="67" t="str">
        <x:v>Complementaria</x:v>
      </x:c>
      <x:c r="N10" s="67" t="str">
        <x:v>Corpus heterogéneo y geográficamente sesgado; predominan pilotos y validaciones experimentales. No permite reconstruir despliegues delimitados ni demostrar continuidad.</x:v>
      </x:c>
      <x:c r="O10" s="67" t="str">
        <x:v>Usar con cautela para contextualizar barreras y la brecha piloto-escalamiento; no atribuirle los mecanismos conceptuales originales de A3M.</x:v>
      </x:c>
    </x:row>
    <x:row r="11">
      <x:c r="A11" s="81" t="n">
        <x:v>15</x:v>
      </x:c>
      <x:c r="B11" s="81" t="str">
        <x:v>Digital Transformation in Grain Engineering and Post-Harvest Activities: A Case Study and Maturity Model Proposition</x:v>
      </x:c>
      <x:c r="C11" s="81" t="str">
        <x:v>Transformación digital organizacional longitudinal y madurez en poscosecha.</x:v>
      </x:c>
      <x:c r="D11" s="81" t="str">
        <x:v>La transformación sostenida se construye mediante estandarización progresiva, interoperabilidad, formación, soporte, mantenimiento y capacidad analítica; la tecnología aislada no describe la trayectoria organizacional.</x:v>
      </x:c>
      <x:c r="E11" s="81" t="str">
        <x:v>Estudio de caso longitudinal de diez años; reconstrucción de etapas, modelo de madurez, discusión y limitaciones.</x:v>
      </x:c>
      <x:c r="F11" s="81" t="str">
        <x:v>Aporta soporte directo a I23, I3M e IM1 y parcial a I12 al mostrar cómo requisitos y procesos cambian con la trayectoria de la organización.</x:v>
      </x:c>
      <x:c r="G11" s="81" t="str">
        <x:v>Empresa agroindustrial y operaciones de poscosecha</x:v>
      </x:c>
      <x:c r="H11" s="81" t="str">
        <x:v>Parcial</x:v>
      </x:c>
      <x:c r="I11" s="81" t="str">
        <x:v>Sí</x:v>
      </x:c>
      <x:c r="J11" s="81" t="str">
        <x:v>Sí</x:v>
      </x:c>
      <x:c r="K11" s="81" t="str">
        <x:v>Sí</x:v>
      </x:c>
      <x:c r="L11" s="81" t="str">
        <x:v>Directo</x:v>
      </x:c>
      <x:c r="M11" s="81" t="str">
        <x:v>Contexto empírico</x:v>
      </x:c>
      <x:c r="N11" s="81" t="str">
        <x:v>Caso único; la relación entre mejoras y resultados no se identifica causalmente por interfaz.</x:v>
      </x:c>
      <x:c r="O11" s="81" t="str">
        <x:v>Usar como antecedente longitudinal de aprendizaje y soporte organizacional; no generalizar la secuencia de madurez a todos los despliegues.</x:v>
      </x:c>
    </x:row>
    <x:row r="12">
      <x:c r="A12" s="81" t="n">
        <x:v>19</x:v>
      </x:c>
      <x:c r="B12" s="81" t="str">
        <x:v>Digital transformation of agriculture: A new integrated modeling framework for arable farm enterprises</x:v>
      </x:c>
      <x:c r="C12" s="81" t="str">
        <x:v>IEMFAFE: modelado empresarial integrado para alinear procesos, recursos, información, servicios y sistemas.</x:v>
      </x:c>
      <x:c r="D12" s="81" t="str">
        <x:v>La integración requiere traducir objetivos y requisitos del negocio agrícola en capacidades, recursos, procesos, servicios e información explícitos; el modelo permite derivar interfaces de sistema desde la operación real.</x:v>
      </x:c>
      <x:c r="E12" s="81" t="str">
        <x:v>Desarrollo del framework, vistas del modelo, metodología y estudio multicaso en explotaciones arables.</x:v>
      </x:c>
      <x:c r="F12" s="81" t="str">
        <x:v>Antecedente metodológico directo de trazabilidad entre A1/A2/A3/M; ofrece apoyo explícito a I12, I23, I3M e iteración de diseño para IM1.</x:v>
      </x:c>
      <x:c r="G12" s="81" t="str">
        <x:v>Explotación/empresa agrícola arable</x:v>
      </x:c>
      <x:c r="H12" s="81" t="str">
        <x:v>Sí</x:v>
      </x:c>
      <x:c r="I12" s="81" t="str">
        <x:v>Sí</x:v>
      </x:c>
      <x:c r="J12" s="81" t="str">
        <x:v>Sí</x:v>
      </x:c>
      <x:c r="K12" s="81" t="str">
        <x:v>Sí</x:v>
      </x:c>
      <x:c r="L12" s="81" t="str">
        <x:v>Directo</x:v>
      </x:c>
      <x:c r="M12" s="81" t="str">
        <x:v>Núcleo conceptual</x:v>
      </x:c>
      <x:c r="N12" s="81" t="str">
        <x:v>El resultado principal es modelado/diseño empresarial; no documenta incidentes operacionales ni ciclos de recuperación posteriores al despliegue.</x:v>
      </x:c>
      <x:c r="O12" s="81" t="str">
        <x:v>Usar para fundamentar trazabilidad requisitos-recursos-procesos-servicios y la necesidad de mantener el modelo alineado con la operación.</x:v>
      </x:c>
    </x:row>
    <x:row r="13">
      <x:c r="A13" s="81" t="n">
        <x:v>42</x:v>
      </x:c>
      <x:c r="B13" s="81" t="str">
        <x:v>Balanced readiness level assessment (BRLa): A tool for exploring new and emerging technologies.</x:v>
      </x:c>
      <x:c r="C13" s="81" t="str">
        <x:v>Preparación balanceada en dimensiones tecnológica, de mercado, regulatoria, de aceptación y organizacional.</x:v>
      </x:c>
      <x:c r="D13" s="81" t="str">
        <x:v>Un nivel tecnológico elevado no garantiza implementación: las dimensiones de preparación pueden estar desalineadas y deben examinarse por separado.</x:v>
      </x:c>
      <x:c r="E13" s="81" t="str">
        <x:v>Desarrollo de BRLa, evaluación de 36 tecnologías y caso longitudinal; resultados y discusión.</x:v>
      </x:c>
      <x:c r="F13" s="81" t="str">
        <x:v>Contrasta la lógica de A³M al mostrar desacoplamientos entre capacidad técnica y condiciones organizacionales/externas; I3M es el vínculo más directo.</x:v>
      </x:c>
      <x:c r="G13" s="81" t="str">
        <x:v>Tecnología emergente, organización y ecosistema de adopción</x:v>
      </x:c>
      <x:c r="H13" s="81" t="str">
        <x:v>Parcial</x:v>
      </x:c>
      <x:c r="I13" s="81" t="str">
        <x:v>Parcial</x:v>
      </x:c>
      <x:c r="J13" s="81" t="str">
        <x:v>Sí</x:v>
      </x:c>
      <x:c r="K13" s="81" t="str">
        <x:v>Parcial</x:v>
      </x:c>
      <x:c r="L13" s="81" t="str">
        <x:v>Directo</x:v>
      </x:c>
      <x:c r="M13" s="81" t="str">
        <x:v>Núcleo conceptual</x:v>
      </x:c>
      <x:c r="N13" s="81" t="str">
        <x:v>BRLa es una herramienta de readiness y no reconstruye una cadena causal de evidencia en un despliegue agrícola delimitado.</x:v>
      </x:c>
      <x:c r="O13" s="81" t="str">
        <x:v>Usar para justificar que no debe inferirse continuidad desde TRL o madurez tecnológica y para contrastar con el diagnóstico por interfaces.</x:v>
      </x:c>
    </x:row>
    <x:row r="14">
      <x:c r="A14" s="81" t="n">
        <x:v>50</x:v>
      </x:c>
      <x:c r="B14" s="81" t="str">
        <x:v>Development of an integrated smart farm system for open-field soybean cultivation in a former paddy fields</x:v>
      </x:c>
      <x:c r="C14" s="81" t="str">
        <x:v>Sistema integrado de smart farming de campo abierto con sensores, maquinaria autónoma y plataforma de control.</x:v>
      </x:c>
      <x:c r="D14" s="81" t="str">
        <x:v>La integración de maquinaria, agua, nutrientes, monitoreo y control puede demostrar viabilidad operacional multianual, pero la escalabilidad requiere usabilidad, capacitación, soporte intermediario y adaptación al contexto.</x:v>
      </x:c>
      <x:c r="E14" s="81" t="str">
        <x:v>Arquitectura y tecnologías del sistema; implementación 2022–2024; resultados de campo; discusión de escalabilidad y limitaciones.</x:v>
      </x:c>
      <x:c r="F14" s="81" t="str">
        <x:v>Aporta evidencia directa de I12 e I23 y parcial de I3M/IM1; es uno de los casos más cercanos a un despliegue delimitado.</x:v>
      </x:c>
      <x:c r="G14" s="81" t="str">
        <x:v>Parcela experimental y sistema de cultivo de soya en campo abierto</x:v>
      </x:c>
      <x:c r="H14" s="81" t="str">
        <x:v>Sí</x:v>
      </x:c>
      <x:c r="I14" s="81" t="str">
        <x:v>Sí</x:v>
      </x:c>
      <x:c r="J14" s="81" t="str">
        <x:v>Parcial</x:v>
      </x:c>
      <x:c r="K14" s="81" t="str">
        <x:v>Parcial</x:v>
      </x:c>
      <x:c r="L14" s="81" t="str">
        <x:v>Directo</x:v>
      </x:c>
      <x:c r="M14" s="81" t="str">
        <x:v>Contexto empírico</x:v>
      </x:c>
      <x:c r="N14" s="81" t="str">
        <x:v>La documentación de fallos, recuperación, mantenimiento y cambios posteriores a incidentes es limitada.</x:v>
      </x:c>
      <x:c r="O14" s="81" t="str">
        <x:v>Usar como caso operacional de integración; no presentar la ausencia de incidentes documentados como evidencia de robustez o continuidad.</x:v>
      </x:c>
    </x:row>
    <x:row r="15">
      <x:c r="A15" s="81" t="n">
        <x:v>52</x:v>
      </x:c>
      <x:c r="B15" s="81" t="str">
        <x:v>Communication as the primary driver of IoT-based smart farming adoption: the mediating role of innovation perception and the supporting function of institutional mechanism</x:v>
      </x:c>
      <x:c r="C15" s="81" t="str">
        <x:v>Comunicación, percepción de innovación y soporte institucional como mecanismos de adopción IoT.</x:v>
      </x:c>
      <x:c r="D15" s="81" t="str">
        <x:v>La adopción no depende solo de incentivos o disponibilidad: la comunicación contextualizada, capacitación, asistencia y apoyo institucional modifican la percepción y la factibilidad de uso.</x:v>
      </x:c>
      <x:c r="E15" s="81" t="str">
        <x:v>Encuesta a 200 agricultores, PLS-SEM, entrevistas contextuales, discusión y conclusiones.</x:v>
      </x:c>
      <x:c r="F15" s="81" t="str">
        <x:v>Informa principalmente M e I3M y parcialmente I12/I23; su evidencia sobre sostenibilidad del uso es indirecta y no longitudinal.</x:v>
      </x:c>
      <x:c r="G15" s="81" t="str">
        <x:v>Pequeños productores y entorno institucional de Java Occidental</x:v>
      </x:c>
      <x:c r="H15" s="81" t="str">
        <x:v>Parcial</x:v>
      </x:c>
      <x:c r="I15" s="81" t="str">
        <x:v>Parcial</x:v>
      </x:c>
      <x:c r="J15" s="81" t="str">
        <x:v>Sí</x:v>
      </x:c>
      <x:c r="K15" s="81" t="str">
        <x:v>Parcial</x:v>
      </x:c>
      <x:c r="L15" s="81" t="str">
        <x:v>Directo</x:v>
      </x:c>
      <x:c r="M15" s="81" t="str">
        <x:v>Complementaria</x:v>
      </x:c>
      <x:c r="N15" s="81" t="str">
        <x:v>Diseño transversal y contexto regional; el estudio mide adopción/percepción más que continuidad operacional.</x:v>
      </x:c>
      <x:c r="O15" s="81" t="str">
        <x:v>Usar para sustentar mecanismos de comunicación, formación y facilitación; no equiparar intención/adopción con integración sostenida.</x:v>
      </x:c>
    </x:row>
    <x:row r="16">
      <x:c r="A16" s="81" t="n">
        <x:v>114</x:v>
      </x:c>
      <x:c r="B16" s="81" t="str">
        <x:v>Analysing blockchain adoption in beekeeping: application of theoretical models and their effectiveness</x:v>
      </x:c>
      <x:c r="C16" s="81" t="str">
        <x:v>Contraste TAM/TPB ampliados con madurez digital en adopción de blockchain.</x:v>
      </x:c>
      <x:c r="D16" s="81" t="str">
        <x:v>Utilidad, facilidad de uso, control percibido y recursos condicionan la intención de adoptar; la madurez digital añade contexto pero no demuestra uso sostenido.</x:v>
      </x:c>
      <x:c r="E16" s="81" t="str">
        <x:v>Encuesta multinacional a 159 apicultores y comparación de modelos; resultados y discusión.</x:v>
      </x:c>
      <x:c r="F16" s="81" t="str">
        <x:v>Delimita adopción frente a integración y aporta condiciones parciales para I12/I3M; no ofrece ciclo de aprendizaje operacional.</x:v>
      </x:c>
      <x:c r="G16" s="81" t="str">
        <x:v>Apicultor/explotación y adopción de trazabilidad blockchain</x:v>
      </x:c>
      <x:c r="H16" s="81" t="str">
        <x:v>Parcial</x:v>
      </x:c>
      <x:c r="I16" s="81" t="str">
        <x:v>Parcial</x:v>
      </x:c>
      <x:c r="J16" s="81" t="str">
        <x:v>Sí</x:v>
      </x:c>
      <x:c r="K16" s="81" t="str">
        <x:v>No</x:v>
      </x:c>
      <x:c r="L16" s="81" t="str">
        <x:v>Directo</x:v>
      </x:c>
      <x:c r="M16" s="81" t="str">
        <x:v>Contraste conceptual</x:v>
      </x:c>
      <x:c r="N16" s="81" t="str">
        <x:v>Resultado centrado en intención de adopción y autoinforme; no seguimiento longitudinal ni verificación de desempeño.</x:v>
      </x:c>
      <x:c r="O16" s="81" t="str">
        <x:v>Usar como contraste de modelos de aceptación/adopción y para evitar que A³M se reduzca a utilidad o facilidad percibida.</x:v>
      </x:c>
    </x:row>
    <x:row r="17">
      <x:c r="A17" s="81" t="n">
        <x:v>9</x:v>
      </x:c>
      <x:c r="B17" s="81" t="str">
        <x:v>Examining the factors influencing the digital transformation of new agricultural operating entities: insights from Zhejiang, China</x:v>
      </x:c>
      <x:c r="C17" s="81" t="str">
        <x:v>Configuraciones causales de capacidades, aprendizaje, recursos, apoyo gubernamental y entorno para transformación digital.</x:v>
      </x:c>
      <x:c r="D17" s="81" t="str">
        <x:v>No existe una única condición suficiente: diferentes combinaciones de recursos, aprendizaje y apoyo pueden conducir a niveles altos de transformación digital.</x:v>
      </x:c>
      <x:c r="E17" s="81" t="str">
        <x:v>40 casos; entrevistas, cuestionarios y fsQCA; configuraciones suficientes y discusión.</x:v>
      </x:c>
      <x:c r="F17" s="81" t="str">
        <x:v>Refuerza la naturaleza configuracional de M y la dependencia del contexto; informa I12 e I3M y parcialmente IM1 mediante aprendizaje organizacional.</x:v>
      </x:c>
      <x:c r="G17" s="81" t="str">
        <x:v>Entidad agrícola/organización productiva</x:v>
      </x:c>
      <x:c r="H17" s="81" t="str">
        <x:v>Parcial</x:v>
      </x:c>
      <x:c r="I17" s="81" t="str">
        <x:v>Parcial</x:v>
      </x:c>
      <x:c r="J17" s="81" t="str">
        <x:v>Sí</x:v>
      </x:c>
      <x:c r="K17" s="81" t="str">
        <x:v>Parcial</x:v>
      </x:c>
      <x:c r="L17" s="81" t="str">
        <x:v>Directo</x:v>
      </x:c>
      <x:c r="M17" s="81" t="str">
        <x:v>Contexto empírico</x:v>
      </x:c>
      <x:c r="N17" s="81" t="str">
        <x:v>fsQCA identifica configuraciones asociadas, no reconstruye mecanismos de un despliegue técnico específico ni continuidad temporal.</x:v>
      </x:c>
      <x:c r="O17" s="81" t="str">
        <x:v>Usar para mostrar equifinalidad y complementariedad de condiciones; no traducir configuraciones en reglas universales de A³M.</x:v>
      </x:c>
    </x:row>
    <x:row r="18">
      <x:c r="A18" s="81" t="n">
        <x:v>51</x:v>
      </x:c>
      <x:c r="B18" s="81" t="str">
        <x:v>Factors influencing agricultural digital transformation: A systematic review of environmental, technological, and individual dimensions</x:v>
      </x:c>
      <x:c r="C18" s="81" t="str">
        <x:v>Síntesis sistemática de factores ambientales, tecnológicos e individuales de transformación digital agrícola.</x:v>
      </x:c>
      <x:c r="D18" s="81" t="str">
        <x:v>Infraestructura, compatibilidad, confiabilidad, recursos, capacidades, redes y políticas interactúan dinámicamente; los factores no actúan de forma aislada.</x:v>
      </x:c>
      <x:c r="E18" s="81" t="str">
        <x:v>Revisión sistemática y análisis bibliométrico de 620 publicaciones; síntesis de factores y agenda.</x:v>
      </x:c>
      <x:c r="F18" s="81" t="str">
        <x:v>Refuerza I12 e I3M y apoya parcialmente I23/IM1; sirve de cobertura amplia más que de mecanismo operativo delimitado.</x:v>
      </x:c>
      <x:c r="G18" s="81" t="str">
        <x:v>Literatura agrícola multinivel</x:v>
      </x:c>
      <x:c r="H18" s="81" t="str">
        <x:v>Sí</x:v>
      </x:c>
      <x:c r="I18" s="81" t="str">
        <x:v>Parcial</x:v>
      </x:c>
      <x:c r="J18" s="81" t="str">
        <x:v>Sí</x:v>
      </x:c>
      <x:c r="K18" s="81" t="str">
        <x:v>Parcial</x:v>
      </x:c>
      <x:c r="L18" s="81" t="str">
        <x:v>Parcial</x:v>
      </x:c>
      <x:c r="M18" s="81" t="str">
        <x:v>Complementaria</x:v>
      </x:c>
      <x:c r="N18" s="81" t="str">
        <x:v>Alta heterogeneidad del corpus y nivel de síntesis amplio; no demuestra secuencias causales ni continuidad de despliegues.</x:v>
      </x:c>
      <x:c r="O18" s="81" t="str">
        <x:v>Usar para justificar la interdependencia de factores y contextualizar el marco; preferir fuentes primarias para afirmaciones específicas.</x:v>
      </x:c>
    </x:row>
    <x:row r="19">
      <x:c r="A19" s="81" t="n">
        <x:v>58</x:v>
      </x:c>
      <x:c r="B19" s="81" t="str">
        <x:v>Digitalisation of food value chains in developing countries: Systemic barriers and a digital-maturity-stratified strategy for integrated and inclusive adoption</x:v>
      </x:c>
      <x:c r="C19" s="81" t="str">
        <x:v>Estrategia de digitalización inclusiva estratificada por madurez para cadenas alimentarias.</x:v>
      </x:c>
      <x:c r="D19" s="81" t="str">
        <x:v>La digitalización efectiva requiere diagnóstico situado, co-diseño, pilotaje, aprendizaje, infraestructura, mantenimiento local y gobernanza adaptativa, no solo despliegue tecnológico.</x:v>
      </x:c>
      <x:c r="E19" s="81" t="str">
        <x:v>Revisión sistemática de 62 estudios; síntesis de barreras; estrategia por niveles de madurez; discusión y agenda.</x:v>
      </x:c>
      <x:c r="F19" s="81" t="str">
        <x:v>Aporta mecanismos directos a I12 e I3M y soporte conceptual para IM1 mediante ciclos iterativos de pilotaje-aprendizaje-adaptación.</x:v>
      </x:c>
      <x:c r="G19" s="81" t="str">
        <x:v>Cadena de valor alimentaria y comunidades en países en desarrollo</x:v>
      </x:c>
      <x:c r="H19" s="81" t="str">
        <x:v>Sí</x:v>
      </x:c>
      <x:c r="I19" s="81" t="str">
        <x:v>Parcial</x:v>
      </x:c>
      <x:c r="J19" s="81" t="str">
        <x:v>Sí</x:v>
      </x:c>
      <x:c r="K19" s="81" t="str">
        <x:v>Sí</x:v>
      </x:c>
      <x:c r="L19" s="81" t="str">
        <x:v>Directo</x:v>
      </x:c>
      <x:c r="M19" s="81" t="str">
        <x:v>Núcleo conceptual</x:v>
      </x:c>
      <x:c r="N19" s="81" t="str">
        <x:v>La estrategia es sintetizada desde literatura heterogénea y no se valida longitudinalmente como paquete completo.</x:v>
      </x:c>
      <x:c r="O19" s="81" t="str">
        <x:v>Usar para fundamentar integración inclusiva, mantenimiento local y adaptación iterativa; no presentar la estrategia como causalmente validada.</x:v>
      </x:c>
    </x:row>
    <x:row r="20">
      <x:c r="A20" s="81" t="n">
        <x:v>84</x:v>
      </x:c>
      <x:c r="B20" s="81" t="str">
        <x:v>Functional analysis of technological innovation systems enabling digital transformation: A semi-quantitative multicriteria framework applied in the olive sector</x:v>
      </x:c>
      <x:c r="C20" s="81" t="str">
        <x:v>Análisis funcional de TIS para diagnosticar cuellos de botella en transformación digital.</x:v>
      </x:c>
      <x:c r="D20" s="81" t="str">
        <x:v>La transferencia de conocimiento, la actividad empresarial y la movilización de recursos pueden limitar la transformación aun cuando exista tecnología; las funciones del sistema se condicionan mutuamente.</x:v>
      </x:c>
      <x:c r="E20" s="81" t="str">
        <x:v>Marco TIS, AHP y panel de 34 especialistas; análisis funcional y discusión del olivar andaluz.</x:v>
      </x:c>
      <x:c r="F20" s="81" t="str">
        <x:v>Refuerza M/I3M y parcialmente IM1; complementa I12 al situar necesidades y condiciones del sistema.</x:v>
      </x:c>
      <x:c r="G20" s="81" t="str">
        <x:v>Sistema de innovación del sector olivarero</x:v>
      </x:c>
      <x:c r="H20" s="81" t="str">
        <x:v>Parcial</x:v>
      </x:c>
      <x:c r="I20" s="81" t="str">
        <x:v>Parcial</x:v>
      </x:c>
      <x:c r="J20" s="81" t="str">
        <x:v>Sí</x:v>
      </x:c>
      <x:c r="K20" s="81" t="str">
        <x:v>Sí</x:v>
      </x:c>
      <x:c r="L20" s="81" t="str">
        <x:v>Directo</x:v>
      </x:c>
      <x:c r="M20" s="81" t="str">
        <x:v>Núcleo conceptual</x:v>
      </x:c>
      <x:c r="N20" s="81" t="str">
        <x:v>Evaluación semicuantitativa y estática de expertos; no sigue un despliegue tecnológico específico ni su recuperación.</x:v>
      </x:c>
      <x:c r="O20" s="81" t="str">
        <x:v>Usar para justificar movilización de recursos, transferencia y aprendizaje sistémico; no convertir la puntuación funcional en un índice A³M.</x:v>
      </x:c>
    </x:row>
    <x:row r="21">
      <x:c r="A21" s="81" t="n">
        <x:v>99</x:v>
      </x:c>
      <x:c r="B21" s="81" t="str">
        <x:v>Digital transformation of agriculture and rural areas: A socio-cyber-physical system framework to support responsibilisation</x:v>
      </x:c>
      <x:c r="C21" s="81" t="str">
        <x:v>Marco socio-ciber-físico y responsibilización para estudiar transformaciones digitales.</x:v>
      </x:c>
      <x:c r="D21" s="81" t="str">
        <x:v>La transformación digital entrelaza entidades sociales, cibernéticas y físicas; el diseño, acceso, complejidad, interoperabilidad, reparación, conocimiento y responsabilidad deben analizarse conjuntamente.</x:v>
      </x:c>
      <x:c r="E21" s="81" t="str">
        <x:v>Desarrollo conceptual del marco; ilustración en ganadería lechera digital; discusión de problematización y responsibilización.</x:v>
      </x:c>
      <x:c r="F21" s="81" t="str">
        <x:v>Fundamento directo para A1/A2/A3/M e interfaces I12, I23, I3M e IM1 mediante conocimiento, reflexión y reasignación de responsabilidades.</x:v>
      </x:c>
      <x:c r="G21" s="81" t="str">
        <x:v>Sistema socio-ciber-físico multiescalar</x:v>
      </x:c>
      <x:c r="H21" s="81" t="str">
        <x:v>Sí</x:v>
      </x:c>
      <x:c r="I21" s="81" t="str">
        <x:v>Sí</x:v>
      </x:c>
      <x:c r="J21" s="81" t="str">
        <x:v>Sí</x:v>
      </x:c>
      <x:c r="K21" s="81" t="str">
        <x:v>Sí</x:v>
      </x:c>
      <x:c r="L21" s="81" t="str">
        <x:v>Directo</x:v>
      </x:c>
      <x:c r="M21" s="81" t="str">
        <x:v>Núcleo conceptual</x:v>
      </x:c>
      <x:c r="N21" s="81" t="str">
        <x:v>Marco heurístico/conceptual; la ilustración no constituye validación operacional ni prueba causal de las interfaces.</x:v>
      </x:c>
      <x:c r="O21" s="81" t="str">
        <x:v>Usar como fundamento sociotécnico central y para justificar responsabilidad y aprendizaje; mantener explícito su carácter heurístico.</x:v>
      </x:c>
    </x:row>
    <x:row r="22">
      <x:c r="A22" s="81" t="n">
        <x:v>116</x:v>
      </x:c>
      <x:c r="B22" s="81" t="str">
        <x:v>Food security, the agriculture value chain, and digital transformation: The case of Jamaica's agricultural business information system (ABIS)</x:v>
      </x:c>
      <x:c r="C22" s="81" t="str">
        <x:v>Caso negativo de despliegue de una plataforma agrícola disponible pero subutilizada.</x:v>
      </x:c>
      <x:c r="D22" s="81" t="str">
        <x:v>La disponibilidad del sistema no asegura uso: desajustes de flujo de trabajo, usabilidad, conectividad, dispositivos, habilidades, confianza, seguimiento y soporte institucional pueden erosionar la continuidad.</x:v>
      </x:c>
      <x:c r="E22" s="81" t="str">
        <x:v>Estudio de caso de ABIS con entrevistas, grupos focales, observación y documentos; hallazgos y recomendaciones.</x:v>
      </x:c>
      <x:c r="F22" s="81" t="str">
        <x:v>Aporta evidencia directa de desacoplamientos en I12, I23 e I3M; IM1 es parcial porque el seguimiento/retroalimentación fue insuficiente.</x:v>
      </x:c>
      <x:c r="G22" s="81" t="str">
        <x:v>Plataforma nacional, agricultores y cadena de valor en Jamaica</x:v>
      </x:c>
      <x:c r="H22" s="81" t="str">
        <x:v>Sí</x:v>
      </x:c>
      <x:c r="I22" s="81" t="str">
        <x:v>Sí</x:v>
      </x:c>
      <x:c r="J22" s="81" t="str">
        <x:v>Sí</x:v>
      </x:c>
      <x:c r="K22" s="81" t="str">
        <x:v>Parcial</x:v>
      </x:c>
      <x:c r="L22" s="81" t="str">
        <x:v>Directo</x:v>
      </x:c>
      <x:c r="M22" s="81" t="str">
        <x:v>Contexto empírico</x:v>
      </x:c>
      <x:c r="N22" s="81" t="str">
        <x:v>Caso único, fuerte dependencia institucional y contextual; no permite atribución causal ni comparación controlada.</x:v>
      </x:c>
      <x:c r="O22" s="81" t="str">
        <x:v>Usar como caso negativo para mostrar que despliegue y disponibilidad no equivalen a integración sostenida.</x:v>
      </x:c>
    </x:row>
    <x:row r="23">
      <x:c r="A23" s="81" t="n">
        <x:v>14</x:v>
      </x:c>
      <x:c r="B23" s="81" t="str">
        <x:v>Knowledge Transfer on Digital Transformation: An Analysis of the Olive Landscape in Andalusia, Spain</x:v>
      </x:c>
      <x:c r="C23" s="81" t="str">
        <x:v>Transferencia bidireccional de conocimiento y estructura de relaciones en el sistema de innovación del olivar digital.</x:v>
      </x:c>
      <x:c r="D23" s="81" t="str">
        <x:v>La generación de conocimiento no garantiza su uso: la transferencia requiere intermediarios, espacios de interacción y flujos que lleven conocimiento al agricultor y devuelvan su experiencia a investigación y desarrollo; la función obtuvo un desempeño medio-bajo de 0.4313.</x:v>
      </x:c>
      <x:c r="E23" s="81" t="str">
        <x:v>Entrevistas a 14 especialistas; identificación de 21 tipos de actor; análisis de red social y AHP; resultados de subfunciones, discusión y limitaciones.</x:v>
      </x:c>
      <x:c r="F23" s="81" t="str">
        <x:v>Aporta evidencia directa para soportabilidad y coordinación en I3M y para el cierre de aprendizaje en IM1; informa parcialmente la traducción de condiciones y necesidades en I12 e I23.</x:v>
      </x:c>
      <x:c r="G23" s="81" t="str">
        <x:v>Sistema de innovación y sector olivarero de Andalucía</x:v>
      </x:c>
      <x:c r="H23" s="81" t="str">
        <x:v>Parcial</x:v>
      </x:c>
      <x:c r="I23" s="81" t="str">
        <x:v>Parcial</x:v>
      </x:c>
      <x:c r="J23" s="81" t="str">
        <x:v>Sí</x:v>
      </x:c>
      <x:c r="K23" s="81" t="str">
        <x:v>Sí</x:v>
      </x:c>
      <x:c r="L23" s="81" t="str">
        <x:v>Directo</x:v>
      </x:c>
      <x:c r="M23" s="81" t="str">
        <x:v>Contexto empírico</x:v>
      </x:c>
      <x:c r="N23" s="81" t="str">
        <x:v>Red parcial y valoración estática basada solo en actores generadores de conocimiento; no observa despliegues ni resultados longitudinales. Se solapa temáticamente con ID 084, aunque aporta específicamente estructura de red y retroalimentación bidireccional.</x:v>
      </x:c>
      <x:c r="O23" s="81" t="str">
        <x:v>Usar para sustentar intermediación, suficiencia de vínculos y retroalimentación usuario-investigación; evitar duplicar con ID 084 las afirmaciones generales sobre las siete funciones del TIS.</x:v>
      </x:c>
    </x:row>
    <x:row r="24">
      <x:c r="A24" s="81" t="n">
        <x:v>25</x:v>
      </x:c>
      <x:c r="B24" s="81" t="str">
        <x:v>Practice insights for the responsible adoption of smart farming technologies using a participatory technology assessment approach: The case of virtual herding technology in Australia</x:v>
      </x:c>
      <x:c r="C24" s="81" t="str">
        <x:v>Evaluación tecnológica participativa y estrategia multiactor para adopción responsable de pastoreo virtual.</x:v>
      </x:c>
      <x:c r="D24" s="81" t="str">
        <x:v>La aceptación de una tecnología prometedora no basta: fallos del producto, Internet deficiente, falta de habilidades y soporte de implementación pueden comprometer bienestar, continuidad y valor; se requieren apoyo multinivel y redes permanentes de aprendizaje entre productores y asesores.</x:v>
      </x:c>
      <x:c r="E24" s="81" t="str">
        <x:v>Doce talleres con 80 participantes; consulta y panel reflexivo de 13 especialistas durante cuatro años; preguntas de usuarios, riesgos, tres lógicas de adopción, discusión y limitaciones.</x:v>
      </x:c>
      <x:c r="F24" s="81" t="str">
        <x:v>Se vincula directamente con la contextualización de I12, el ajuste de I23 y los recursos de I3M; aporta apoyo parcial a IM1 porque propone una red de aprendizaje, pero no demuestra su funcionamiento sostenido.</x:v>
      </x:c>
      <x:c r="G24" s="81" t="str">
        <x:v>Tecnología de pastoreo virtual, explotación ganadera y red multiactor australiana</x:v>
      </x:c>
      <x:c r="H24" s="81" t="str">
        <x:v>Sí</x:v>
      </x:c>
      <x:c r="I24" s="81" t="str">
        <x:v>Sí</x:v>
      </x:c>
      <x:c r="J24" s="81" t="str">
        <x:v>Sí</x:v>
      </x:c>
      <x:c r="K24" s="81" t="str">
        <x:v>Parcial</x:v>
      </x:c>
      <x:c r="L24" s="81" t="str">
        <x:v>Directo</x:v>
      </x:c>
      <x:c r="M24" s="81" t="str">
        <x:v>Contexto empírico</x:v>
      </x:c>
      <x:c r="N24" s="81" t="str">
        <x:v>La tecnología ya estaba desarrollada y los participantes no podían redirigir el diseño; la estrategia de adopción no fue implementada ni evaluada longitudinalmente y faltó una vía institucional para sostenerla más allá del proyecto.</x:v>
      </x:c>
      <x:c r="O24" s="81" t="str">
        <x:v>Usar como evidencia prospectiva de requisitos, riesgos y soporte; no presentar las redes de aprendizaje propuestas como continuidad operacional ya demostrada.</x:v>
      </x:c>
    </x:row>
    <x:row r="25">
      <x:c r="A25" s="81" t="n">
        <x:v>83</x:v>
      </x:c>
      <x:c r="B25" s="81" t="str">
        <x:v>Perceptions to Precision: Bridging the Gap Between Behavioral Drivers and Digital Tools for Sustainable Pesticide Use in Europe</x:v>
      </x:c>
      <x:c r="C25" s="81" t="str">
        <x:v>Marco de integración psico-digital para uso sostenible de pesticidas y adopción de herramientas de precisión.</x:v>
      </x:c>
      <x:c r="D25" s="81" t="str">
        <x:v>El empuje tecnológico puede fracasar ante aversión a pérdidas, normas productivas, desconfianza, costo y complejidad; la traducción del desempeño técnico a práctica requiere herramientas localizadas e interpretables, demostraciones reales, asesores como traductores y mecanismos institucionales de reducción del riesgo.</x:v>
      </x:c>
      <x:c r="E25" s="81" t="str">
        <x:v>Protocolo PRISMA; 65 estudios incluidos; síntesis temática conductual y tecnológica; marco psico-digital, recomendaciones, brechas y limitaciones.</x:v>
      </x:c>
      <x:c r="F25" s="81" t="str">
        <x:v>Refuerza I12 y la soportabilidad de I3M, e informa parcialmente I23 e IM1; su foco es adopción y reducción de pesticidas, no mantenimiento o continuidad de un despliegue automatizado delimitado.</x:v>
      </x:c>
      <x:c r="G25" s="81" t="str">
        <x:v>Productores, asesores e instituciones vinculados al manejo de pesticidas en Europa</x:v>
      </x:c>
      <x:c r="H25" s="81" t="str">
        <x:v>Sí</x:v>
      </x:c>
      <x:c r="I25" s="81" t="str">
        <x:v>Parcial</x:v>
      </x:c>
      <x:c r="J25" s="81" t="str">
        <x:v>Sí</x:v>
      </x:c>
      <x:c r="K25" s="81" t="str">
        <x:v>Parcial</x:v>
      </x:c>
      <x:c r="L25" s="81" t="str">
        <x:v>Parcial</x:v>
      </x:c>
      <x:c r="M25" s="81" t="str">
        <x:v>Complementaria</x:v>
      </x:c>
      <x:c r="N25" s="81" t="str">
        <x:v>La evidencia europea puede ocultar variación regional; gran parte mide intención o autoinforme y no conducta observada; el marco y sus mecanismos institucionales no han sido validados con diseños longitudinales.</x:v>
      </x:c>
      <x:c r="O25" s="81" t="str">
        <x:v>Usar para explicar por qué desempeño técnico y adopción no son equivalentes y para fundamentar calibración, explicabilidad y asesoría; no extrapolar intención a uso sostenido.</x:v>
      </x:c>
    </x:row>
    <x:row r="26">
      <x:c r="A26" s="81" t="n">
        <x:v>95</x:v>
      </x:c>
      <x:c r="B26" s="81" t="str">
        <x:v>How to measure digital maturity in agriculture? Conceptual outline, instrument development and measurement results from German farms</x:v>
      </x:c>
      <x:c r="C26" s="81" t="str">
        <x:v>CMM-FS: madurez digital multidimensional de explotaciones en personas, tecnología y organización.</x:v>
      </x:c>
      <x:c r="D26" s="81" t="str">
        <x:v>La madurez no se deduce de tecnología aislada ni exige máximos iguales en todas las dimensiones; en la muestra alemana las dimensiones humanas y tecnológicas fueron más maduras que las organizacionales, por lo que el diagnóstico debe ajustarse al contexto y a los recursos de la explotación.</x:v>
      </x:c>
      <x:c r="E26" s="81" t="str">
        <x:v>Desarrollo con literatura y 15 entrevistas; instrumento y preprueba; encuesta a 123 explotaciones; análisis factorial, resultados por nueve dimensiones, discusión y limitaciones.</x:v>
      </x:c>
      <x:c r="F26" s="81" t="str">
        <x:v>Sustenta la separación de capacidad técnica y soportabilidad en I3M y permite contrastar una medición global por dimensiones con el diagnóstico de interfaces de A³M; aporta evidencia parcial para I12, I23 e IM1.</x:v>
      </x:c>
      <x:c r="G26" s="81" t="str">
        <x:v>Explotación agrícola y empresa agroalimentaria</x:v>
      </x:c>
      <x:c r="H26" s="81" t="str">
        <x:v>Parcial</x:v>
      </x:c>
      <x:c r="I26" s="81" t="str">
        <x:v>Parcial</x:v>
      </x:c>
      <x:c r="J26" s="81" t="str">
        <x:v>Sí</x:v>
      </x:c>
      <x:c r="K26" s="81" t="str">
        <x:v>Parcial</x:v>
      </x:c>
      <x:c r="L26" s="81" t="str">
        <x:v>Directo</x:v>
      </x:c>
      <x:c r="M26" s="81" t="str">
        <x:v>Contraste conceptual</x:v>
      </x:c>
      <x:c r="N26" s="81" t="str">
        <x:v>Muestra de 123 explotaciones alemanas con posible sesgo hacia productores vinculados digitalmente; limitada comparación por subgrupos y generalización; no mide continuidad operacional ni aprendizaje longitudinal.</x:v>
      </x:c>
      <x:c r="O26" s="81" t="str">
        <x:v>Usar para mostrar multidimensionalidad y desalineación organización-tecnología; contrastar su medición de madurez con la decisión de A³M de localizar fallos por interfaces y no agregar una puntuación general.</x:v>
      </x:c>
    </x:row>
    <x:row r="27">
      <x:c r="A27" s="81" t="n">
        <x:v>117</x:v>
      </x:c>
      <x:c r="B27" s="81" t="str">
        <x:v>Supporting ecosystem for farmers' food traceability participation: A systematic review</x:v>
      </x:c>
      <x:c r="C27" s="81" t="str">
        <x:v>Digital Maturity Framework for Traceability Implementation (DMFTI) y ecosistema de soporte al agricultor.</x:v>
      </x:c>
      <x:c r="D27" s="81" t="str">
        <x:v>La implementación de trazabilidad va más allá de adoptar tecnología: exige infraestructura confiable, herramientas ajustadas a necesidades, interoperabilidad, calidad y seguridad de datos, competencias, aprendizaje social, confianza y acuerdos claros de propiedad y uso de datos.</x:v>
      </x:c>
      <x:c r="E27" s="81" t="str">
        <x:v>PRISMA: 5065 registros y 39 estudios; doble cribado parcial y evaluación CASP/MMAT/Q-SSP; análisis de contenido; cinco pilares DMFTI, implicaciones, limitaciones y agenda futura.</x:v>
      </x:c>
      <x:c r="F27" s="81" t="str">
        <x:v>Aporta mecanismos directos para I12 e I3M e informa parcialmente I23 e IM1; su perspectiva ecosistémica complementa el despliegue delimitado, aunque se centra en participación y trazabilidad de cadena.</x:v>
      </x:c>
      <x:c r="G27" s="81" t="str">
        <x:v>Explotación, cadena agroalimentaria y ecosistema institucional de trazabilidad</x:v>
      </x:c>
      <x:c r="H27" s="81" t="str">
        <x:v>Sí</x:v>
      </x:c>
      <x:c r="I27" s="81" t="str">
        <x:v>Parcial</x:v>
      </x:c>
      <x:c r="J27" s="81" t="str">
        <x:v>Sí</x:v>
      </x:c>
      <x:c r="K27" s="81" t="str">
        <x:v>Parcial</x:v>
      </x:c>
      <x:c r="L27" s="81" t="str">
        <x:v>Directo</x:v>
      </x:c>
      <x:c r="M27" s="81" t="str">
        <x:v>Núcleo conceptual</x:v>
      </x:c>
      <x:c r="N27" s="81" t="str">
        <x:v>La calidad del cuerpo empírico revisado fue baja, con predominio ganadero; la generalización sectorial es incierta y el DMFTI aún carece de instrumento estandarizado, prueba replicable y validación longitudinal.</x:v>
      </x:c>
      <x:c r="O27" s="81" t="str">
        <x:v>Usar para sustentar la interacción entre infraestructura, capacidades, datos y gobernanza; no confundir participación en trazabilidad ni madurez ecosistémica con integración operacional demostrada.</x:v>
      </x:c>
    </x:row>
    <x:row r="28">
      <x:c r="A28" s="81" t="n">
        <x:v>130</x:v>
      </x:c>
      <x:c r="B28" s="81" t="str">
        <x:v>Practices, Challenges, and Future of Digital Transformation in Smallholder Agriculture: Insights from a Literature Review</x:v>
      </x:c>
      <x:c r="C28" s="81" t="str">
        <x:v>Marco gobierno-tecnología-pequeños productores para transformación digital inclusiva.</x:v>
      </x:c>
      <x:c r="D28" s="81" t="str">
        <x:v>Las soluciones uniformes pueden fallar ante diversidad productiva, baja conectividad, costo, habilidades, idioma y desigualdad; la transformación requiere investigación de necesidades, herramientas asequibles y localizadas, formación, redes locales, retroalimentación y protección de datos.</x:v>
      </x:c>
      <x:c r="E28" s="81" t="str">
        <x:v>Selección de 86 publicaciones en Web of Science; síntesis de prácticas, desafíos y recomendaciones; marco tripartito, discusión y limitaciones.</x:v>
      </x:c>
      <x:c r="F28" s="81" t="str">
        <x:v>Refuerza la contextualización de I12 y los recursos de I3M y aporta apoyo parcial a I23 e IM1; su escala es amplia y no examina desempeño sostenido de despliegues automatizados.</x:v>
      </x:c>
      <x:c r="G28" s="81" t="str">
        <x:v>Pequeño productor, comunidad rural y entorno institucional</x:v>
      </x:c>
      <x:c r="H28" s="81" t="str">
        <x:v>Sí</x:v>
      </x:c>
      <x:c r="I28" s="81" t="str">
        <x:v>Parcial</x:v>
      </x:c>
      <x:c r="J28" s="81" t="str">
        <x:v>Sí</x:v>
      </x:c>
      <x:c r="K28" s="81" t="str">
        <x:v>Parcial</x:v>
      </x:c>
      <x:c r="L28" s="81" t="str">
        <x:v>Parcial</x:v>
      </x:c>
      <x:c r="M28" s="81" t="str">
        <x:v>Complementaria</x:v>
      </x:c>
      <x:c r="N28" s="81" t="str">
        <x:v>Búsqueda restringida a Web of Science y publicaciones en inglés; síntesis manual cualitativa con decisiones parcialmente subjetivas; heterogeneidad geográfica y ausencia de verificación operacional o causal.</x:v>
      </x:c>
      <x:c r="O28" s="81" t="str">
        <x:v>Usar para contextualizar inclusión, localización y capacidades de soporte; no convertir sus recomendaciones generales en evidencia de eficacia de una configuración concreta.</x:v>
      </x:c>
    </x:row>
    <x:row r="29">
      <x:c r="A29" t="n">
        <x:v>12</x:v>
      </x:c>
      <x:c r="B29" t="str">
        <x:v>What drives the digital transformation of farmers’ cooperatives? An empirical analysis based on the TOE framework</x:v>
      </x:c>
      <x:c r="C29" t="str">
        <x:v>TOE integrado con dinámica de sistemas para explicar la transformación digital de cooperativas agrícolas.</x:v>
      </x:c>
      <x:c r="D29" t="str">
        <x:v>La transformación depende de la interacción entre condiciones tecnológicas, organizacionales y ambientales; compatibilidad, infraestructura, capacidad decisoria y talento condicionan la evolución. El modelo incorpora bucles de retroalimentación y una tasa de abandono, pero el resultado principal sigue siendo adopción simulada.</x:v>
      </x:c>
      <x:c r="E29" t="str">
        <x:v>Marco TOE, pp. 4–7; modelo y variables, pp. 8–14; sensibilidad y conclusiones, pp. 16–22.</x:v>
      </x:c>
      <x:c r="F29" t="str">
        <x:v>Refuerza M/I3M y contextualiza I12; informa I23 mediante compatibilidad y capacidades e IM1 sólo de forma parcial por la dinámica y el feedback modelados, sin observar ciclos reales de incidente–cambio–revalidación.</x:v>
      </x:c>
      <x:c r="G29" t="str">
        <x:v>Cooperativa agrícola y entorno institucional/mercado en Zhejiang</x:v>
      </x:c>
      <x:c r="H29" t="str">
        <x:v>Parcial</x:v>
      </x:c>
      <x:c r="I29" t="str">
        <x:v>Parcial</x:v>
      </x:c>
      <x:c r="J29" t="str">
        <x:v>Sí</x:v>
      </x:c>
      <x:c r="K29" t="str">
        <x:v>Parcial</x:v>
      </x:c>
      <x:c r="L29" t="str">
        <x:v>Parcial</x:v>
      </x:c>
      <x:c r="M29" t="str">
        <x:v>Contexto empírico</x:v>
      </x:c>
      <x:c r="N29" t="str">
        <x:v>Modelo de adopción/difusión con parámetros parcialmente estimados por expertos, supuestos de evolución continua y contexto regional único; no verifica continuidad ni aprendizaje operacional de despliegues concretos.</x:v>
      </x:c>
      <x:c r="O29" t="str">
        <x:v>Usar para evidenciar interacción entre condiciones, capacidades y soporte, y como contraste entre dinámica de adopción e integración sostenida; no interpretar la tasa simulada como validación de A³M.</x:v>
      </x:c>
    </x:row>
    <x:row r="30">
      <x:c r="A30" t="n">
        <x:v>22</x:v>
      </x:c>
      <x:c r="B30" t="str">
        <x:v>Theories and Models of Technology Adoption in Agricultural Sector</x:v>
      </x:c>
      <x:c r="C30" t="str">
        <x:v>Síntesis comparativa de teorías y modelos de adopción tecnológica aplicados al sector agrícola.</x:v>
      </x:c>
      <x:c r="D30" t="str">
        <x:v>La adopción puede incluir integración en la práctica durante un periodo extendido, pero muchos modelos terminan en la decisión o uso; TTF aborda ajuste tarea–tecnología, UTAUT condiciones facilitadoras y Rogers continuación/discontinuación. La continuidad post-adopción queda así tratada de forma fragmentaria.</x:v>
      </x:c>
      <x:c r="E30" t="str">
        <x:v>Definiciones y paradigmas, pp. 2–3; TTF/UTAUT, pp. 6–10; discusión sobre continuación y discontinuación, pp. 11–13.</x:v>
      </x:c>
      <x:c r="F30" t="str">
        <x:v>Contrasta A³M con adopción y aceptación: aporta antecedentes para I23 e I3M y demuestra que no es correcto afirmar que toda la literatura de adopción ignora continuidad, aunque no articula un mecanismo operacional equivalente a IM1.</x:v>
      </x:c>
      <x:c r="G30" t="str">
        <x:v>Usuario/productor; proceso de adopción y difusión agrícola</x:v>
      </x:c>
      <x:c r="H30" t="str">
        <x:v>Parcial</x:v>
      </x:c>
      <x:c r="I30" t="str">
        <x:v>Sí</x:v>
      </x:c>
      <x:c r="J30" t="str">
        <x:v>Parcial</x:v>
      </x:c>
      <x:c r="K30" t="str">
        <x:v>Parcial</x:v>
      </x:c>
      <x:c r="L30" t="str">
        <x:v>Directo</x:v>
      </x:c>
      <x:c r="M30" t="str">
        <x:v>Contraste conceptual</x:v>
      </x:c>
      <x:c r="N30" t="str">
        <x:v>Revisión no sistemática, fuentes heterogéneas y fuerte dependencia de modelos seminales; no aporta prueba empírica ni un mecanismo operacional de aprendizaje y reconfiguración.</x:v>
      </x:c>
      <x:c r="O30" t="str">
        <x:v>Usar para delimitar con precisión la literatura de adopción y justificar la necesidad de integrar ajuste, soporte y continuidad; no usar como evidencia de integración operacional demostrada.</x:v>
      </x:c>
    </x:row>
    <x:row r="31">
      <x:c r="A31" t="n">
        <x:v>49</x:v>
      </x:c>
      <x:c r="B31" t="str">
        <x:v>Sustainable digitalisation - a system thinking approach for determining costs and benefits in the agri-sector</x:v>
      </x:c>
      <x:c r="C31" t="str">
        <x:v>CODECS Conceptual Framework for Sustainable Digitalisation basado en pensamiento sistémico y niveles interconectados.</x:v>
      </x:c>
      <x:c r="D31" t="str">
        <x:v>Los efectos de la digitalización son contextuales y multinivel: una mejora local no puede extrapolarse a una transición sostenible. El análisis debe considerar interdependencias, recursos y capacidades, soporte de ecosistemas digitales, bucles de retroalimentación y cambios institucionales de largo plazo.</x:v>
      </x:c>
      <x:c r="E31" t="str">
        <x:v>Problema y límites de evaluaciones previas, pp. 2–3; framework y Fig. 1, pp. 4–5; conclusión y agenda, p. 6.</x:v>
      </x:c>
      <x:c r="F31" t="str">
        <x:v>Fundamenta el carácter sistémico y temporal de A³M; refuerza I3M y la necesidad de feedback en IM1, y contextualiza I12/I23. No localiza por sí solo una ruptura ni demuestra ciclos operacionales de modificación y revalidación.</x:v>
      </x:c>
      <x:c r="G31" t="str">
        <x:v>Multinivel: proceso de finca, ecosistema digital y contexto socioambiental</x:v>
      </x:c>
      <x:c r="H31" t="str">
        <x:v>Parcial</x:v>
      </x:c>
      <x:c r="I31" t="str">
        <x:v>Parcial</x:v>
      </x:c>
      <x:c r="J31" t="str">
        <x:v>Sí</x:v>
      </x:c>
      <x:c r="K31" t="str">
        <x:v>Parcial</x:v>
      </x:c>
      <x:c r="L31" t="str">
        <x:v>Directo</x:v>
      </x:c>
      <x:c r="M31" t="str">
        <x:v>Núcleo conceptual</x:v>
      </x:c>
      <x:c r="N31" t="str">
        <x:v>Short communication y marco prospectivo; aunque se apoya en scoping review e interacción del proyecto CODECS, el propio artículo plantea como trabajo futuro su evaluación empírica y no aporta validación longitudinal.</x:v>
      </x:c>
      <x:c r="O31" t="str">
        <x:v>Usar para justificar que digitalización no equivale a sostenibilidad ni integración y que soporte e impactos deben evaluarse por nivel y contexto; no convertir sus niveles en una escala de madurez A³M.</x:v>
      </x:c>
    </x:row>
    <x:row r="32">
      <x:c r="A32" t="n">
        <x:v>57</x:v>
      </x:c>
      <x:c r="B32" t="str">
        <x:v>The Validation–Deployment Gap in Agricultural Information Systems: A Systematic Technology Readiness Assessment</x:v>
      </x:c>
      <x:c r="C32" t="str">
        <x:v>Brecha validación–despliegue y evaluación multidimensional de madurez para sistemas de información agrícola.</x:v>
      </x:c>
      <x:c r="D32" t="str">
        <x:v>Un alto rendimiento algorítmico o una validación de laboratorio no implica preparación para despliegue. La evidencia revisada muestra concentración en TRL bajos, escasa validación económica y muy poca operación sostenida; el avance exige validación contextual, económica, de adopción e impacto bajo condiciones reales.</x:v>
      </x:c>
      <x:c r="E32" t="str">
        <x:v>Resumen e introducción, pp. 1–3; variables de madurez y TRL, pp. 6–9; madurez de implementación, pp. 18–23; discusión y conclusiones, pp. 32–34.</x:v>
      </x:c>
      <x:c r="F32" t="str">
        <x:v>Aporta evidencia directa para I23 e I3M y fortalece I12 mediante la exigencia de validación contextual. IM1 es parcial: exige seguimiento sostenido y robustez temporal/geográfica, pero no documenta ciclos de incidente–diagnóstico–modificación–revalidación de un despliegue delimitado.</x:v>
      </x:c>
      <x:c r="G32" t="str">
        <x:v>Revisión de sistemas de información y tecnologías Agriculture 4.0 aplicadas a comercialización agrícola</x:v>
      </x:c>
      <x:c r="H32" t="str">
        <x:v>Parcial</x:v>
      </x:c>
      <x:c r="I32" t="str">
        <x:v>Sí</x:v>
      </x:c>
      <x:c r="J32" t="str">
        <x:v>Sí</x:v>
      </x:c>
      <x:c r="K32" t="str">
        <x:v>Parcial</x:v>
      </x:c>
      <x:c r="L32" t="str">
        <x:v>Directo</x:v>
      </x:c>
      <x:c r="M32" t="str">
        <x:v>Núcleo conceptual</x:v>
      </x:c>
      <x:c r="N32" t="str">
        <x:v>El corpus se concentra en comercialización y sistemas de información; los TRL y puntuaciones de desempeño/viabilidad son reconstruidos por los autores y algunos índices compuestos dependen de normalización y ponderación iguales. La evidencia de operación sostenida es muy escasa.</x:v>
      </x:c>
      <x:c r="O32" t="str">
        <x:v>Usar como evidencia central de que desempeño técnico, madurez y despliegue son constructos distintos; aprovechar sus niveles de validación como antecedente, sin importar sus puntuaciones compuestas ni tratarlas como índice A³M.</x:v>
      </x:c>
    </x:row>
    <x:row r="33">
      <x:c r="A33" t="n">
        <x:v>80</x:v>
      </x:c>
      <x:c r="B33" t="str">
        <x:v>Responsible robotics design–A systems approach to developing design guides for robotics in pasture-grazed dairy farming</x:v>
      </x:c>
      <x:c r="C33" t="str">
        <x:v>Diseño responsable y sistémico de robótica agrícola mediante guías de diseño derivadas del contexto de operación.</x:v>
      </x:c>
      <x:c r="D33" t="str">
        <x:v>El desarrollo de robótica debe comenzar por necesidades y restricciones del sistema agrícola y traducirlas a criterios de diseño. La viabilidad depende de ajuste al sistema de finca, personas, estructura del negocio, soporte, mantenimiento, repuestos, conectividad, interoperabilidad, regulación, capacidades y redes de servicio.</x:v>
      </x:c>
      <x:c r="E33" t="str">
        <x:v>Marco conceptual y 10 factores de diseño, pp. 2–3; caso y design canvas, pp. 4–6; síntesis y conclusión, p. 7.</x:v>
      </x:c>
      <x:c r="F33" t="str">
        <x:v>Es una de las fuentes más directas para I12 e I23 y ofrece soporte explícito para I3M. El co-diseño, la reflexividad y la iteración informan IM1, pero no se observa una implementación longitudinal que cierre el ciclo de aprendizaje.</x:v>
      </x:c>
      <x:c r="G33" t="str">
        <x:v>Sistema de finca y desarrollo de robótica para ordeño en lechería pastoril de Nueva Zelanda</x:v>
      </x:c>
      <x:c r="H33" t="str">
        <x:v>Sí</x:v>
      </x:c>
      <x:c r="I33" t="str">
        <x:v>Sí</x:v>
      </x:c>
      <x:c r="J33" t="str">
        <x:v>Sí</x:v>
      </x:c>
      <x:c r="K33" t="str">
        <x:v>Parcial</x:v>
      </x:c>
      <x:c r="L33" t="str">
        <x:v>Directo</x:v>
      </x:c>
      <x:c r="M33" t="str">
        <x:v>Núcleo conceptual</x:v>
      </x:c>
      <x:c r="N33" t="str">
        <x:v>Perspective paper y caso de diseño prospectivo; la guía no se valida mediante un despliegue real del concepto de ordeño robótico ni mediante seguimiento longitudinal.</x:v>
      </x:c>
      <x:c r="O33" t="str">
        <x:v>Usar para sustentar la traducción contexto→requisitos y requisitos→diseño, además de soporte/mantenimiento como condición de integración; declarar que la iteración de co-diseño es propuesta, no evidencia de continuidad operacional demostrada.</x:v>
      </x:c>
    </x:row>
  </x:sheetData>
  <x:mergeCells>
    <x:mergeCell ref="A1:O1"/>
    <x:mergeCell ref="A2:O2"/>
  </x:mergeCells>
  <x:conditionalFormatting sqref="H5:K10">
    <x:cfRule type="containsText" dxfId="8" priority="1" operator="containsText" text="Sí"/>
    <x:cfRule type="containsText" dxfId="9" priority="2" operator="containsText" text="Parcial"/>
    <x:cfRule type="containsText" dxfId="10" priority="3" operator="containsText" text="No"/>
  </x:conditionalFormatting>
  <x:dataValidations count="3">
    <x:dataValidation type="list" sqref="H5:K10">
      <x:formula1>"Sí,Parcial,No,No evaluable"</x:formula1>
    </x:dataValidation>
    <x:dataValidation type="list" sqref="L5:L10">
      <x:formula1>"Directo,Parcial,Interpretación razonada,Ausencia de evidencia"</x:formula1>
    </x:dataValidation>
    <x:dataValidation type="list" sqref="M5:M10">
      <x:formula1>"Núcleo conceptual,Complementaria,Contraste conceptual,Contexto empírico"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43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52" hidden="0" customWidth="1"/>
  </x:cols>
  <x:sheetData>
    <x:row r="1" ht="36" customHeight="1">
      <x:c r="A1" s="3" t="str">
        <x:v>S1 — control de lotes de texto completo</x:v>
      </x:c>
    </x:row>
    <x:row r="2" ht="34" customHeight="1">
      <x:c r="A2" s="7" t="str">
        <x:v>Plan operativo de 32 candidatos en seis lotes (6 + 6 + 6 + 6 + 6 + 2). Los cuatro primeros lotes fueron recibidos y evaluados el 17 de agosto de 2026; cuatro documentos del lote 4 fueron revalidados el 18 de agosto de 2026.</x:v>
      </x:c>
    </x:row>
    <x:row r="4" ht="42" customHeight="1">
      <x:c r="A4" s="61" t="str">
        <x:v>Lote</x:v>
      </x:c>
      <x:c r="B4" s="61" t="str">
        <x:v>Tamaño_planeado</x:v>
      </x:c>
      <x:c r="C4" s="61" t="str">
        <x:v>Fecha_recepción</x:v>
      </x:c>
      <x:c r="D4" s="61" t="str">
        <x:v>IDs_asignados</x:v>
      </x:c>
      <x:c r="E4" s="61" t="str">
        <x:v>Reportes_recibidos</x:v>
      </x:c>
      <x:c r="F4" s="61" t="str">
        <x:v>Evaluados</x:v>
      </x:c>
      <x:c r="G4" s="61" t="str">
        <x:v>Incluidos</x:v>
      </x:c>
      <x:c r="H4" s="61" t="str">
        <x:v>Excluidos</x:v>
      </x:c>
      <x:c r="I4" s="61" t="str">
        <x:v>Pendientes</x:v>
      </x:c>
      <x:c r="J4" s="61" t="str">
        <x:v>Estado</x:v>
      </x:c>
      <x:c r="K4" s="61" t="str">
        <x:v>Notas</x:v>
      </x:c>
    </x:row>
    <x:row r="5">
      <x:c r="A5" s="76" t="n">
        <x:v>1</x:v>
      </x:c>
      <x:c r="B5" s="76" t="n">
        <x:v>6</x:v>
      </x:c>
      <x:c r="C5" s="75" t="n">
        <x:v>46251</x:v>
      </x:c>
      <x:c r="D5" s="74" t="str">
        <x:v>007; 046; 053; 056; 068; 107</x:v>
      </x:c>
      <x:c r="E5" s="76" t="n">
        <x:v>6</x:v>
      </x:c>
      <x:c r="F5" s="76" t="n">
        <x:v>6</x:v>
      </x:c>
      <x:c r="G5" s="76" t="n">
        <x:v>6</x:v>
      </x:c>
      <x:c r="H5" s="76" t="n">
        <x:v>0</x:v>
      </x:c>
      <x:c r="I5" s="76" t="n">
        <x:v>0</x:v>
      </x:c>
      <x:c r="J5" s="74" t="str">
        <x:v>Cerrado</x:v>
      </x:c>
      <x:c r="K5" s="74" t="str">
        <x:v>Primer lote de S1: seis textos válidos evaluados e incluidos; roles conceptuales diferenciados.</x:v>
      </x:c>
    </x:row>
    <x:row r="6">
      <x:c r="A6" s="71" t="n">
        <x:v>2</x:v>
      </x:c>
      <x:c r="B6" s="71" t="n">
        <x:v>6</x:v>
      </x:c>
      <x:c r="C6" s="73" t="n">
        <x:v>46251</x:v>
      </x:c>
      <x:c r="D6" s="67" t="str">
        <x:v>015; 019; 042; 050; 052; 114</x:v>
      </x:c>
      <x:c r="E6" s="71" t="n">
        <x:v>6</x:v>
      </x:c>
      <x:c r="F6" s="71" t="n">
        <x:v>6</x:v>
      </x:c>
      <x:c r="G6" s="71" t="n">
        <x:v>6</x:v>
      </x:c>
      <x:c r="H6" s="71" t="n">
        <x:v>0</x:v>
      </x:c>
      <x:c r="I6" s="71" t="n">
        <x:v>0</x:v>
      </x:c>
      <x:c r="J6" s="67" t="str">
        <x:v>Cerrado</x:v>
      </x:c>
      <x:c r="K6" s="67" t="str">
        <x:v>Segundo lote de S1: seis textos válidos evaluados e incluidos; evidencia operacional, organizacional, metodológica y de adopción diferenciada.</x:v>
      </x:c>
    </x:row>
    <x:row r="7">
      <x:c r="A7" s="76" t="n">
        <x:v>3</x:v>
      </x:c>
      <x:c r="B7" s="76" t="n">
        <x:v>6</x:v>
      </x:c>
      <x:c r="C7" s="75" t="n">
        <x:v>46251</x:v>
      </x:c>
      <x:c r="D7" s="74" t="str">
        <x:v>009; 051; 058; 084; 099; 116</x:v>
      </x:c>
      <x:c r="E7" s="76" t="n">
        <x:v>6</x:v>
      </x:c>
      <x:c r="F7" s="76" t="n">
        <x:v>6</x:v>
      </x:c>
      <x:c r="G7" s="76" t="n">
        <x:v>6</x:v>
      </x:c>
      <x:c r="H7" s="76" t="n">
        <x:v>0</x:v>
      </x:c>
      <x:c r="I7" s="76" t="n">
        <x:v>0</x:v>
      </x:c>
      <x:c r="J7" s="74" t="str">
        <x:v>Cerrado</x:v>
      </x:c>
      <x:c r="K7" s="74" t="str">
        <x:v>Tercer lote de S1: seis textos válidos evaluados e incluidos; fundamentos conceptuales y sistémicos, revisión de factores y casos empíricos de transformación y desacoplamiento.</x:v>
      </x:c>
    </x:row>
    <x:row r="8">
      <x:c r="A8" s="71" t="n">
        <x:v>4</x:v>
      </x:c>
      <x:c r="B8" s="71" t="n">
        <x:v>6</x:v>
      </x:c>
      <x:c r="C8" s="73" t="n">
        <x:v>46251</x:v>
      </x:c>
      <x:c r="D8" s="67" t="str">
        <x:v>014; 025; 083; 095; 117; 130</x:v>
      </x:c>
      <x:c r="E8" s="71" t="n">
        <x:v>6</x:v>
      </x:c>
      <x:c r="F8" s="71" t="n">
        <x:v>6</x:v>
      </x:c>
      <x:c r="G8" s="71" t="n">
        <x:v>6</x:v>
      </x:c>
      <x:c r="H8" s="71" t="n">
        <x:v>0</x:v>
      </x:c>
      <x:c r="I8" s="71" t="n">
        <x:v>0</x:v>
      </x:c>
      <x:c r="J8" s="67" t="str">
        <x:v>Cerrado</x:v>
      </x:c>
      <x:c r="K8" s="67" t="str">
        <x:v>Cuarto lote de S1: seis textos válidos evaluados e incluidos. ID 025, 083, 117 y 130 fueron revalidados el 2026-08-18 sin cambio de decisión.</x:v>
      </x:c>
    </x:row>
    <x:row r="9">
      <x:c r="A9" s="76" t="n">
        <x:v>5</x:v>
      </x:c>
      <x:c r="B9" s="76" t="n">
        <x:v>6</x:v>
      </x:c>
      <x:c r="C9" s="75" t="n">
        <x:v>46252</x:v>
      </x:c>
      <x:c r="D9" s="74" t="str">
        <x:v>012; 022; 037; 049; 057; 072</x:v>
      </x:c>
      <x:c r="E9" s="76" t="n">
        <x:v>5</x:v>
      </x:c>
      <x:c r="F9" s="76" t="n">
        <x:v>5</x:v>
      </x:c>
      <x:c r="G9" s="76" t="n">
        <x:v>4</x:v>
      </x:c>
      <x:c r="H9" s="76" t="n">
        <x:v>1</x:v>
      </x:c>
      <x:c r="I9" s="76" t="n">
        <x:v>0</x:v>
      </x:c>
      <x:c r="J9" s="74" t="str">
        <x:v>Cerrado</x:v>
      </x:c>
      <x:c r="K9" s="74" t="str">
        <x:v>Lote 5 cerrado: ID 012, 022, 049 y 057 incluidos; ID 072 excluido por E05; ID 037 no recuperado (E07, no exclusión a texto completo).</x:v>
      </x:c>
    </x:row>
    <x:row r="10">
      <x:c r="A10" s="71" t="n">
        <x:v>6</x:v>
      </x:c>
      <x:c r="B10" s="71" t="n">
        <x:v>2</x:v>
      </x:c>
      <x:c r="C10" s="73" t="n">
        <x:v>46252</x:v>
      </x:c>
      <x:c r="D10" s="67" t="str">
        <x:v>080; 127</x:v>
      </x:c>
      <x:c r="E10" s="71" t="n">
        <x:v>1</x:v>
      </x:c>
      <x:c r="F10" s="71" t="n">
        <x:v>1</x:v>
      </x:c>
      <x:c r="G10" s="71" t="n">
        <x:v>1</x:v>
      </x:c>
      <x:c r="H10" s="71" t="n">
        <x:v>0</x:v>
      </x:c>
      <x:c r="I10" s="71" t="n">
        <x:v>0</x:v>
      </x:c>
      <x:c r="J10" s="67" t="str">
        <x:v>Cerrado</x:v>
      </x:c>
      <x:c r="K10" s="67" t="str">
        <x:v>Lote 6 cerrado: ID 080 incluido; ID 127 no recuperado (E07, no exclusión a texto completo).</x:v>
      </x:c>
    </x:row>
    <x:row r="12" ht="26" customHeight="1">
      <x:c r="A12" s="77" t="str">
        <x:v>Total</x:v>
      </x:c>
      <x:c r="B12" s="77" t="n">
        <x:v>32</x:v>
      </x:c>
      <x:c r="C12" s="77"/>
      <x:c r="D12" s="77"/>
      <x:c r="E12" s="77" t="n">
        <x:v>30</x:v>
      </x:c>
      <x:c r="F12" s="77" t="n">
        <x:v>30</x:v>
      </x:c>
      <x:c r="G12" s="77" t="n">
        <x:v>29</x:v>
      </x:c>
      <x:c r="H12" s="77" t="n">
        <x:v>1</x:v>
      </x:c>
      <x:c r="I12" s="77" t="n">
        <x:v>0</x:v>
      </x:c>
      <x:c r="J12" s="77"/>
      <x:c r="K12" s="77"/>
    </x:row>
  </x:sheetData>
  <x:mergeCells>
    <x:mergeCell ref="A1:K1"/>
    <x:mergeCell ref="A2:K2"/>
  </x:mergeCells>
  <x:conditionalFormatting sqref="J5:J10">
    <x:cfRule type="containsText" dxfId="11" priority="1" operator="containsText" text="Cerrado"/>
    <x:cfRule type="containsText" dxfId="12" priority="2" operator="containsText" text="Pendiente"/>
  </x:conditionalFormatting>
  <x:dataValidations count="1">
    <x:dataValidation type="list" sqref="J5:J10">
      <x:formula1>"Pendiente,En revisión,Cerrado"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74" hidden="0" customWidth="1"/>
    <x:col min="4" max="4" width="5" hidden="0" customWidth="1"/>
    <x:col min="5" max="5" width="14" hidden="0" customWidth="1"/>
    <x:col min="6" max="6" width="31" hidden="0" customWidth="1"/>
    <x:col min="7" max="7" width="66" hidden="0" customWidth="1"/>
    <x:col min="8" max="8" width="5" hidden="0" customWidth="1"/>
  </x:cols>
  <x:sheetData>
    <x:row r="1" ht="36" customHeight="1">
      <x:c r="A1" s="3" t="str">
        <x:v>S1 — criterios, códigos y reglas de interpretación</x:v>
      </x:c>
    </x:row>
    <x:row r="2" ht="34" customHeight="1">
      <x:c r="A2" s="7" t="str">
        <x:v>Criterios adaptados al propósito conceptual de S1. Una fuente puede incluirse como núcleo, complemento o contraste sin asumir que valida empíricamente A³M.</x:v>
      </x:c>
    </x:row>
    <x:row r="4" ht="26" customHeight="1">
      <x:c r="A4" s="10" t="str">
        <x:v>Criterios de inclusión a texto completo</x:v>
      </x:c>
      <x:c r="B4" s="10"/>
      <x:c r="C4" s="10"/>
      <x:c r="D4" s="10"/>
      <x:c r="E4" s="10"/>
      <x:c r="F4" s="10"/>
      <x:c r="G4" s="10"/>
      <x:c r="H4" s="10"/>
    </x:row>
    <x:row r="5">
      <x:c r="A5" s="65" t="str">
        <x:v>I01</x:v>
      </x:c>
      <x:c r="B5" s="65" t="str">
        <x:v>Define un concepto o mecanismo pertinente</x:v>
      </x:c>
      <x:c r="C5" s="65" t="str">
        <x:v>La fuente formula o desarrolla un concepto utilizable para condiciones, requisitos, capacidades, recursos, soporte, conocimiento, aprendizaje o continuidad.</x:v>
      </x:c>
    </x:row>
    <x:row r="6">
      <x:c r="A6" s="65" t="str">
        <x:v>I02</x:v>
      </x:c>
      <x:c r="B6" s="65" t="str">
        <x:v>Respalda una afirmación específica</x:v>
      </x:c>
      <x:c r="C6" s="65" t="str">
        <x:v>El texto permite localizar una afirmación y su pasaje; no basta la afinidad de palabras clave.</x:v>
      </x:c>
    </x:row>
    <x:row r="7">
      <x:c r="A7" s="65" t="str">
        <x:v>I03</x:v>
      </x:c>
      <x:c r="B7" s="65" t="str">
        <x:v>Delimita conceptos cercanos</x:v>
      </x:c>
      <x:c r="C7" s="65" t="str">
        <x:v>Ayuda a distinguir integración sostenida de aceptación, adopción, demostración, madurez o modernización.</x:v>
      </x:c>
    </x:row>
    <x:row r="8">
      <x:c r="A8" s="65" t="str">
        <x:v>I04</x:v>
      </x:c>
      <x:c r="B8" s="65" t="str">
        <x:v>Aporta aplicación agrícola pertinente</x:v>
      </x:c>
      <x:c r="C8" s="65" t="str">
        <x:v>Una revisión o aplicación traduce o limita un concepto dentro de automatización, digitalización o apoyo a decisiones.</x:v>
      </x:c>
    </x:row>
    <x:row r="9">
      <x:c r="A9" s="65" t="str">
        <x:v>I05</x:v>
      </x:c>
      <x:c r="B9" s="65" t="str">
        <x:v>Información bibliográfica verificable</x:v>
      </x:c>
      <x:c r="C9" s="65" t="str">
        <x:v>Título, autoría, fuente, año y DOI/EID permiten identificar el documento de forma inequívoca.</x:v>
      </x:c>
    </x:row>
    <x:row r="11" ht="26" customHeight="1">
      <x:c r="A11" s="10" t="str">
        <x:v>Códigos de exclusión y no recuperación</x:v>
      </x:c>
      <x:c r="B11" s="10"/>
      <x:c r="C11" s="10"/>
      <x:c r="D11" s="10"/>
      <x:c r="E11" s="10"/>
      <x:c r="F11" s="10"/>
      <x:c r="G11" s="10"/>
      <x:c r="H11" s="10"/>
    </x:row>
    <x:row r="12">
      <x:c r="E12" s="78" t="str">
        <x:v>E01</x:v>
      </x:c>
      <x:c r="F12" s="65" t="str">
        <x:v>Sin afirmación conceptual específica</x:v>
      </x:c>
      <x:c r="G12" s="65" t="str">
        <x:v>Menciona digitalización, integración o sostenibilidad, pero no define un fenómeno, mecanismo o relación utilizable.</x:v>
      </x:c>
    </x:row>
    <x:row r="13">
      <x:c r="E13" s="78" t="str">
        <x:v>E02</x:v>
      </x:c>
      <x:c r="F13" s="65" t="str">
        <x:v>Afinidad terminológica sin mecanismo</x:v>
      </x:c>
      <x:c r="G13" s="65" t="str">
        <x:v>El título o vocabulario parece pertinente, pero el cuerpo del texto no aporta una relación trazable para A³M.</x:v>
      </x:c>
    </x:row>
    <x:row r="14">
      <x:c r="E14" s="78" t="str">
        <x:v>E03</x:v>
      </x:c>
      <x:c r="F14" s="65" t="str">
        <x:v>Fuera de alcance</x:v>
      </x:c>
      <x:c r="G14" s="65" t="str">
        <x:v>No corresponde al sector agrícola, a las familias tecnológicas consideradas o al problema conceptual definido.</x:v>
      </x:c>
    </x:row>
    <x:row r="15">
      <x:c r="E15" s="78" t="str">
        <x:v>E04</x:v>
      </x:c>
      <x:c r="F15" s="65" t="str">
        <x:v>Evidencia o método insuficiente</x:v>
      </x:c>
      <x:c r="G15" s="65" t="str">
        <x:v>El contenido o la metodología no permite sostener de manera responsable la afirmación propuesta.</x:v>
      </x:c>
    </x:row>
    <x:row r="16">
      <x:c r="E16" s="78" t="str">
        <x:v>E05</x:v>
      </x:c>
      <x:c r="F16" s="65" t="str">
        <x:v>Duplicado o concepto subsumido</x:v>
      </x:c>
      <x:c r="G16" s="65" t="str">
        <x:v>El mismo estudio o aporte ya está representado por otra publicación primaria más adecuada.</x:v>
      </x:c>
    </x:row>
    <x:row r="17">
      <x:c r="E17" s="78" t="str">
        <x:v>E06</x:v>
      </x:c>
      <x:c r="F17" s="65" t="str">
        <x:v>Tipo documental no elegible</x:v>
      </x:c>
      <x:c r="G17" s="65" t="str">
        <x:v>Documento sin revisión académica o sin información bibliográfica verificable para el corpus.</x:v>
      </x:c>
    </x:row>
    <x:row r="18">
      <x:c r="E18" s="78" t="str">
        <x:v>E07</x:v>
      </x:c>
      <x:c r="F18" s="65" t="str">
        <x:v>Reporte no recuperado</x:v>
      </x:c>
      <x:c r="G18" s="65" t="str">
        <x:v>Se registra para PRISMA/control documental; no es una exclusión después de leer el texto completo.</x:v>
      </x:c>
    </x:row>
    <x:row r="21" ht="26" customHeight="1">
      <x:c r="A21" s="10" t="str">
        <x:v>Reglas de codificación conceptual</x:v>
      </x:c>
      <x:c r="B21" s="10"/>
      <x:c r="C21" s="10"/>
      <x:c r="D21" s="10"/>
      <x:c r="E21" s="10"/>
      <x:c r="F21" s="10"/>
      <x:c r="G21" s="10"/>
      <x:c r="H21" s="10"/>
    </x:row>
    <x:row r="22">
      <x:c r="A22" s="65" t="str">
        <x:v>Directo</x:v>
      </x:c>
      <x:c r="B22" s="65" t="str">
        <x:v>La publicación formula explícitamente el concepto o mecanismo utilizado.</x:v>
      </x:c>
      <x:c r="C22" s="65" t="str"/>
    </x:row>
    <x:row r="23">
      <x:c r="A23" s="65" t="str">
        <x:v>Parcial</x:v>
      </x:c>
      <x:c r="B23" s="65" t="str">
        <x:v>La publicación explica solo una parte de la interfaz o relación.</x:v>
      </x:c>
      <x:c r="C23" s="65" t="str"/>
    </x:row>
    <x:row r="24">
      <x:c r="A24" s="65" t="str">
        <x:v>Interpretación razonada</x:v>
      </x:c>
      <x:c r="B24" s="65" t="str">
        <x:v>La correspondencia con A³M es una integración realizada por los autores y debe declararse como tal.</x:v>
      </x:c>
      <x:c r="C24" s="65" t="str"/>
    </x:row>
    <x:row r="25">
      <x:c r="A25" s="65" t="str">
        <x:v>Ausencia de evidencia</x:v>
      </x:c>
      <x:c r="B25" s="65" t="str">
        <x:v>La publicación no permite sostener la afirmación examinada.</x:v>
      </x:c>
      <x:c r="C25" s="65" t="str"/>
    </x:row>
    <x:row r="26">
      <x:c r="A26" s="65" t="str">
        <x:v>Sí / Parcial / No</x:v>
      </x:c>
      <x:c r="B26" s="65" t="str">
        <x:v>La valoración por interfaz no es una puntuación y no se agrega en un índice global.</x:v>
      </x:c>
      <x:c r="C26" s="65" t="str"/>
    </x:row>
    <x:row r="27">
      <x:c r="A27" s="65" t="str">
        <x:v>Regla de prudencia</x:v>
      </x:c>
      <x:c r="B27" s="65" t="str">
        <x:v>Incluir una fuente no equivale a validar A³M ni a demostrar integración operacional del caso estudiado.</x:v>
      </x:c>
      <x:c r="C27" s="65" t="str"/>
    </x:row>
  </x:sheetData>
  <x:mergeCells>
    <x:mergeCell ref="A1:H1"/>
    <x:mergeCell ref="A2:H2"/>
    <x:mergeCell ref="A4:H4"/>
    <x:mergeCell ref="A11:H11"/>
    <x:mergeCell ref="A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3" hidden="0" customWidth="1"/>
    <x:col min="4" max="4" width="18" hidden="0" customWidth="1"/>
    <x:col min="5" max="5" width="11" hidden="0" customWidth="1"/>
    <x:col min="6" max="6" width="18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4" hidden="0" customWidth="1"/>
    <x:col min="12" max="12" width="22" hidden="0" customWidth="1"/>
    <x:col min="13" max="13" width="42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</x:cols>
  <x:sheetData>
    <x:row r="1" ht="16.799999237060547" hidden="0" customHeight="1">
      <x:c r="A1" s="85" t="str">
        <x:v>S1 — verificación de cuatro PDFs recibidos el 18 de agosto de 2026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5"/>
      <x:c r="P1" s="85"/>
      <x:c r="Q1" s="85"/>
    </x:row>
    <x:row r="2" ht="15" hidden="0" customHeight="1">
      <x:c r="A2" s="89" t="str">
        <x:v>Los cuatro documentos recibidos coinciden con registros ya evaluados e incluidos en el lote 4. Se reanalizaron para confirmar pertinencia; no se contabilizan nuevamente y los ocho candidatos pendientes permanecen sin cambios.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</x:row>
    <x:row r="3"/>
    <x:row r="4" ht="15" hidden="0" customHeight="1">
      <x:c r="A4" s="94" t="str">
        <x:v>ID_S1</x:v>
      </x:c>
      <x:c r="B4" s="94" t="str">
        <x:v>Título corto</x:v>
      </x:c>
      <x:c r="C4" s="94" t="str">
        <x:v>DOI</x:v>
      </x:c>
      <x:c r="D4" s="94" t="str">
        <x:v>Decisión verificada</x:v>
      </x:c>
      <x:c r="E4" s="94" t="str">
        <x:v>Calidad</x:v>
      </x:c>
      <x:c r="F4" s="94" t="str">
        <x:v>Rol_corpus</x:v>
      </x:c>
      <x:c r="G4" s="94" t="str">
        <x:v>I12</x:v>
      </x:c>
      <x:c r="H4" s="94" t="str">
        <x:v>I23</x:v>
      </x:c>
      <x:c r="I4" s="94" t="str">
        <x:v>I3M</x:v>
      </x:c>
      <x:c r="J4" s="94" t="str">
        <x:v>IM1</x:v>
      </x:c>
      <x:c r="K4" s="94" t="str">
        <x:v>Tipo_relación</x:v>
      </x:c>
      <x:c r="L4" s="94" t="str">
        <x:v>Criterios satisfechos</x:v>
      </x:c>
      <x:c r="M4" s="94" t="str">
        <x:v>Hallazgo central para A³M</x:v>
      </x:c>
      <x:c r="N4" s="94" t="str">
        <x:v>Limitación clave</x:v>
      </x:c>
      <x:c r="O4" s="94" t="str">
        <x:v>Archivo recibido</x:v>
      </x:c>
      <x:c r="P4" s="94" t="str">
        <x:v>PDF_final_renombrado</x:v>
      </x:c>
      <x:c r="Q4" s="94" t="str">
        <x:v>Acción documental</x:v>
      </x:c>
    </x:row>
    <x:row r="5" ht="52.79999923706055" hidden="0" customHeight="1">
      <x:c r="A5" s="81" t="n">
        <x:v>25</x:v>
      </x:c>
      <x:c r="B5" s="81" t="str">
        <x:v>Responsible adoption — virtual herding</x:v>
      </x:c>
      <x:c r="C5" s="81" t="str">
        <x:v>10.1016/j.agsy.2022.103592</x:v>
      </x:c>
      <x:c r="D5" s="81" t="str">
        <x:v>Mantener incluido</x:v>
      </x:c>
      <x:c r="E5" s="81" t="str">
        <x:v>Alta</x:v>
      </x:c>
      <x:c r="F5" s="81" t="str">
        <x:v>Contexto empírico</x:v>
      </x:c>
      <x:c r="G5" s="81" t="str">
        <x:v>Sí</x:v>
      </x:c>
      <x:c r="H5" s="81" t="str">
        <x:v>Sí</x:v>
      </x:c>
      <x:c r="I5" s="81" t="str">
        <x:v>Sí</x:v>
      </x:c>
      <x:c r="J5" s="81" t="str">
        <x:v>Parcial</x:v>
      </x:c>
      <x:c r="K5" s="81" t="str">
        <x:v>Directo</x:v>
      </x:c>
      <x:c r="L5" s="81" t="str">
        <x:v>I01; I02; I03; I04; I05</x:v>
      </x:c>
      <x:c r="M5" s="81" t="str">
        <x:v>Hace explícita la transición entre producto validado y uso responsable: el ajuste al contexto, los riesgos de fallos, conectividad, capacitación, soporte y gobernanza condicionan la integración.</x:v>
      </x:c>
      <x:c r="N5" s="81" t="str">
        <x:v>La estrategia resultante no fue implementada ni seguida longitudinalmente; IM1 queda propuesto más que demostrado.</x:v>
      </x:c>
      <x:c r="O5" s="81" t="str">
        <x:v>Practice insights for the responsible adoption of smart farming technologies(1).pdf</x:v>
      </x:c>
      <x:c r="P5" s="81" t="str">
        <x:v>S1_SCOPUS_ID025_Responsible_Adoption_Virtual_Herding.pdf</x:v>
      </x:c>
      <x:c r="Q5" s="81" t="str">
        <x:v>Conservar un solo registro; revalidación sin cambio de conteo.</x:v>
      </x:c>
    </x:row>
    <x:row r="6" ht="66" hidden="0" customHeight="1">
      <x:c r="A6" s="81" t="n">
        <x:v>83</x:v>
      </x:c>
      <x:c r="B6" s="81" t="str">
        <x:v>Perceptions to Precision — sustainable pesticides</x:v>
      </x:c>
      <x:c r="C6" s="81" t="str">
        <x:v>10.3390/agronomy16020214</x:v>
      </x:c>
      <x:c r="D6" s="81" t="str">
        <x:v>Mantener incluido</x:v>
      </x:c>
      <x:c r="E6" s="81" t="str">
        <x:v>Alta</x:v>
      </x:c>
      <x:c r="F6" s="81" t="str">
        <x:v>Complementaria</x:v>
      </x:c>
      <x:c r="G6" s="81" t="str">
        <x:v>Sí</x:v>
      </x:c>
      <x:c r="H6" s="81" t="str">
        <x:v>Parcial</x:v>
      </x:c>
      <x:c r="I6" s="81" t="str">
        <x:v>Sí</x:v>
      </x:c>
      <x:c r="J6" s="81" t="str">
        <x:v>Parcial</x:v>
      </x:c>
      <x:c r="K6" s="81" t="str">
        <x:v>Parcial</x:v>
      </x:c>
      <x:c r="L6" s="81" t="str">
        <x:v>I01; I02; I03; I04; I05</x:v>
      </x:c>
      <x:c r="M6" s="81" t="str">
        <x:v>Muestra que desempeño técnico y adopción no son equivalentes: calibración local, explicabilidad, demostración práctica, asesoría independiente e instrumentos de reducción de riesgo deben sincronizarse.</x:v>
      </x:c>
      <x:c r="N6" s="81" t="str">
        <x:v>Predomina evidencia de intención/autoinforme y el marco psico-digital no ha sido validado longitudinalmente.</x:v>
      </x:c>
      <x:c r="O6" s="81" t="str">
        <x:v>Perceptions to Precision Bridging the Gap Between Behavioral Drivers and Digital Tools for Sustainable Pesticide Use in Europe(1).pdf</x:v>
      </x:c>
      <x:c r="P6" s="81" t="str">
        <x:v>S1_SCOPUS_ID083_Perceptions_Precision_Sustainable_Pesticides.pdf</x:v>
      </x:c>
      <x:c r="Q6" s="81" t="str">
        <x:v>Conservar un solo registro; revalidación sin cambio de conteo.</x:v>
      </x:c>
    </x:row>
    <x:row r="7" ht="52.79999923706055" hidden="0" customHeight="1">
      <x:c r="A7" s="81" t="n">
        <x:v>117</x:v>
      </x:c>
      <x:c r="B7" s="81" t="str">
        <x:v>Supporting ecosystem — food traceability</x:v>
      </x:c>
      <x:c r="C7" s="81" t="str">
        <x:v>10.1016/j.jafr.2025.102288</x:v>
      </x:c>
      <x:c r="D7" s="81" t="str">
        <x:v>Mantener incluido</x:v>
      </x:c>
      <x:c r="E7" s="81" t="str">
        <x:v>Alta</x:v>
      </x:c>
      <x:c r="F7" s="81" t="str">
        <x:v>Núcleo conceptual</x:v>
      </x:c>
      <x:c r="G7" s="81" t="str">
        <x:v>Sí</x:v>
      </x:c>
      <x:c r="H7" s="81" t="str">
        <x:v>Parcial</x:v>
      </x:c>
      <x:c r="I7" s="81" t="str">
        <x:v>Sí</x:v>
      </x:c>
      <x:c r="J7" s="81" t="str">
        <x:v>Parcial</x:v>
      </x:c>
      <x:c r="K7" s="81" t="str">
        <x:v>Directo</x:v>
      </x:c>
      <x:c r="L7" s="81" t="str">
        <x:v>I01; I02; I03; I04; I05</x:v>
      </x:c>
      <x:c r="M7" s="81" t="str">
        <x:v>El DMFTI articula infraestructura, tecnología, capacidades, datos, gobernanza y confianza como un ecosistema interdependiente de soporte; es especialmente útil para M e I3M.</x:v>
      </x:c>
      <x:c r="N7" s="81" t="str">
        <x:v>El cuerpo empírico revisado tiene calidad limitada, predomina ganadería y el DMFTI carece aún de validación longitudinal/replicable.</x:v>
      </x:c>
      <x:c r="O7" s="81" t="str">
        <x:v>Supporting ecosystem for farmers’ food traceability participation(1).pdf</x:v>
      </x:c>
      <x:c r="P7" s="81" t="str">
        <x:v>S1_SCOPUS_ID117_Food_Traceability_Supporting_Ecosystem.pdf</x:v>
      </x:c>
      <x:c r="Q7" s="81" t="str">
        <x:v>Conservar un solo registro; revalidación sin cambio de conteo.</x:v>
      </x:c>
    </x:row>
    <x:row r="8" ht="52.79999923706055" hidden="0" customHeight="1">
      <x:c r="A8" s="81" t="n">
        <x:v>130</x:v>
      </x:c>
      <x:c r="B8" s="81" t="str">
        <x:v>Digital transformation — smallholder agriculture</x:v>
      </x:c>
      <x:c r="C8" s="81" t="str">
        <x:v>10.3390/agriculture14122193</x:v>
      </x:c>
      <x:c r="D8" s="81" t="str">
        <x:v>Mantener incluido</x:v>
      </x:c>
      <x:c r="E8" s="81" t="str">
        <x:v>Moderada</x:v>
      </x:c>
      <x:c r="F8" s="81" t="str">
        <x:v>Complementaria</x:v>
      </x:c>
      <x:c r="G8" s="81" t="str">
        <x:v>Sí</x:v>
      </x:c>
      <x:c r="H8" s="81" t="str">
        <x:v>Parcial</x:v>
      </x:c>
      <x:c r="I8" s="81" t="str">
        <x:v>Sí</x:v>
      </x:c>
      <x:c r="J8" s="81" t="str">
        <x:v>Parcial</x:v>
      </x:c>
      <x:c r="K8" s="81" t="str">
        <x:v>Parcial</x:v>
      </x:c>
      <x:c r="L8" s="81" t="str">
        <x:v>I01; I02; I03; I04; I05</x:v>
      </x:c>
      <x:c r="M8" s="81" t="str">
        <x:v>Aporta contexto específico de pequeños productores: las soluciones deben traducir heterogeneidad, conectividad, idioma, alfabetización, costos y cultura en requisitos y soporte localizados.</x:v>
      </x:c>
      <x:c r="N8" s="81" t="str">
        <x:v>Revisión restringida a WoS/inglés, síntesis amplia y no operacional; existe solapamiento parcial con revisiones sistémicas más fuertes.</x:v>
      </x:c>
      <x:c r="O8" s="81" t="str">
        <x:v>Practices, Challenges, and Future of Digital Transformation in Smallholder Agriculture Insights from a Literature Review(1).pdf</x:v>
      </x:c>
      <x:c r="P8" s="81" t="str">
        <x:v>S1_SCOPUS_ID130_Digital_Transformation_Smallholder_Agriculture.pdf</x:v>
      </x:c>
      <x:c r="Q8" s="81" t="str">
        <x:v>Conservar como complemento contextual; reevaluar por E05 solo si al cierre se exige poda por saturación.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80" t="str">
        <x:v>S1 — evaluación de cuatro candidatos del lote 5 (18 de agosto de 2026)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  <x:c r="L1" s="80"/>
      <x:c r="M1" s="80"/>
      <x:c r="N1" s="80"/>
      <x:c r="O1" s="80"/>
      <x:c r="P1" s="80"/>
      <x:c r="Q1" s="80"/>
    </x:row>
    <x:row r="2">
      <x:c r="A2" s="80" t="str">
        <x:v>Se evaluaron a texto completo ID 012, 022, 049 y 072. Se aceptan tres fuentes y se excluye ID 072 por E05 debido a saturación conceptual y especificidad temática. El lote 5 permanece abierto a la espera de ID 037 y 057.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</x:row>
    <x:row r="3">
      <x:c r="A3" s="80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</x:row>
    <x:row r="4">
      <x:c r="A4" s="80" t="str">
        <x:v>ID_S1</x:v>
      </x:c>
      <x:c r="B4" s="80" t="str">
        <x:v>Título corto</x:v>
      </x:c>
      <x:c r="C4" s="80" t="str">
        <x:v>DOI</x:v>
      </x:c>
      <x:c r="D4" s="80" t="str">
        <x:v>Decisión</x:v>
      </x:c>
      <x:c r="E4" s="80" t="str">
        <x:v>Calidad</x:v>
      </x:c>
      <x:c r="F4" s="80" t="str">
        <x:v>Rol_corpus</x:v>
      </x:c>
      <x:c r="G4" s="80" t="str">
        <x:v>I12</x:v>
      </x:c>
      <x:c r="H4" s="80" t="str">
        <x:v>I23</x:v>
      </x:c>
      <x:c r="I4" s="80" t="str">
        <x:v>I3M</x:v>
      </x:c>
      <x:c r="J4" s="80" t="str">
        <x:v>IM1</x:v>
      </x:c>
      <x:c r="K4" s="80" t="str">
        <x:v>Tipo_relación</x:v>
      </x:c>
      <x:c r="L4" s="80" t="str">
        <x:v>Criterios / código</x:v>
      </x:c>
      <x:c r="M4" s="80" t="str">
        <x:v>Hallazgo central para A³M</x:v>
      </x:c>
      <x:c r="N4" s="80" t="str">
        <x:v>Limitación clave</x:v>
      </x:c>
      <x:c r="O4" s="80" t="str">
        <x:v>Archivo recibido</x:v>
      </x:c>
      <x:c r="P4" s="80" t="str">
        <x:v>PDF_final_renombrado</x:v>
      </x:c>
      <x:c r="Q4" s="80" t="str">
        <x:v>Acción documental</x:v>
      </x:c>
    </x:row>
    <x:row r="5">
      <x:c r="A5" s="80" t="n">
        <x:v>12</x:v>
      </x:c>
      <x:c r="B5" s="80" t="str">
        <x:v>TOE — transformación de cooperativas</x:v>
      </x:c>
      <x:c r="C5" s="80" t="str">
        <x:v>10.1186/s40100-026-00453-2</x:v>
      </x:c>
      <x:c r="D5" s="80" t="str">
        <x:v>Incluir</x:v>
      </x:c>
      <x:c r="E5" s="80" t="str">
        <x:v>Moderada</x:v>
      </x:c>
      <x:c r="F5" s="80" t="str">
        <x:v>Contexto empírico</x:v>
      </x:c>
      <x:c r="G5" s="80" t="str">
        <x:v>Parcial</x:v>
      </x:c>
      <x:c r="H5" s="80" t="str">
        <x:v>Parcial</x:v>
      </x:c>
      <x:c r="I5" s="80" t="str">
        <x:v>Sí</x:v>
      </x:c>
      <x:c r="J5" s="80" t="str">
        <x:v>Parcial</x:v>
      </x:c>
      <x:c r="K5" s="80" t="str">
        <x:v>Parcial</x:v>
      </x:c>
      <x:c r="L5" s="80" t="str">
        <x:v>I01; I02; I03; I04; I05</x:v>
      </x:c>
      <x:c r="M5" s="80" t="str">
        <x:v>TOE + dinámica de sistemas muestra interacción entre tecnología, organización y entorno; infraestructura, compatibilidad, capacidad decisoria y talento condicionan la transformación. El feedback es modelado, no observado como aprendizaje operacional.</x:v>
      </x:c>
      <x:c r="N5" s="80" t="str">
        <x:v>Resultado principal = adopción simulada; parámetros parcialmente expertos y contexto único de Zhejiang.</x:v>
      </x:c>
      <x:c r="O5" s="80" t="str">
        <x:v>What drives the digital transformation of farmers cooperatives An empirical analysis based on the TOE framework.pdf</x:v>
      </x:c>
      <x:c r="P5" s="80" t="str">
        <x:v>S1_SCOPUS_ID012_TOE_Digital_Transformation_Farmers_Cooperatives.pdf</x:v>
      </x:c>
      <x:c r="Q5" s="80" t="str">
        <x:v>Añadir a matriz conceptual y ZIP de aceptados.</x:v>
      </x:c>
    </x:row>
    <x:row r="6">
      <x:c r="A6" s="80" t="n">
        <x:v>22</x:v>
      </x:c>
      <x:c r="B6" s="80" t="str">
        <x:v>Theories and Models — technology adoption</x:v>
      </x:c>
      <x:c r="C6" s="80" t="str">
        <x:v>10.1155/2022/9258317</x:v>
      </x:c>
      <x:c r="D6" s="80" t="str">
        <x:v>Incluir</x:v>
      </x:c>
      <x:c r="E6" s="80" t="str">
        <x:v>Moderada-baja</x:v>
      </x:c>
      <x:c r="F6" s="80" t="str">
        <x:v>Contraste conceptual</x:v>
      </x:c>
      <x:c r="G6" s="80" t="str">
        <x:v>Parcial</x:v>
      </x:c>
      <x:c r="H6" s="80" t="str">
        <x:v>Sí</x:v>
      </x:c>
      <x:c r="I6" s="80" t="str">
        <x:v>Parcial</x:v>
      </x:c>
      <x:c r="J6" s="80" t="str">
        <x:v>Parcial</x:v>
      </x:c>
      <x:c r="K6" s="80" t="str">
        <x:v>Directo</x:v>
      </x:c>
      <x:c r="L6" s="80" t="str">
        <x:v>I01; I02; I03; I04; I05</x:v>
      </x:c>
      <x:c r="M6" s="80" t="str">
        <x:v>La revisión reconoce que algunos conceptos de adopción incluyen integración prolongada, pero que muchos modelos terminan en adopción; TTF, UTAUT y Rogers cubren por separado fit, condiciones facilitadoras y continuación/discontinuación.</x:v>
      </x:c>
      <x:c r="N6" s="80" t="str">
        <x:v>Revisión narrativa no sistemática y sin evidencia empírica propia; continuidad queda conceptual, no operacional.</x:v>
      </x:c>
      <x:c r="O6" s="80" t="str">
        <x:v>Theories and Models of Technology Adoption in Agricultural.pdf</x:v>
      </x:c>
      <x:c r="P6" s="80" t="str">
        <x:v>S1_SCOPUS_ID022_Technology_Adoption_Theories_Agriculture.pdf</x:v>
      </x:c>
      <x:c r="Q6" s="80" t="str">
        <x:v>Añadir a matriz conceptual y ZIP; usar para delimitar el contraste con literatura de adopción.</x:v>
      </x:c>
    </x:row>
    <x:row r="7">
      <x:c r="A7" s="80" t="n">
        <x:v>49</x:v>
      </x:c>
      <x:c r="B7" s="80" t="str">
        <x:v>CODECS — sustainable digitalisation</x:v>
      </x:c>
      <x:c r="C7" s="80" t="str">
        <x:v>10.1016/j.agsy.2025.104529</x:v>
      </x:c>
      <x:c r="D7" s="80" t="str">
        <x:v>Incluir</x:v>
      </x:c>
      <x:c r="E7" s="80" t="str">
        <x:v>Moderada</x:v>
      </x:c>
      <x:c r="F7" s="80" t="str">
        <x:v>Núcleo conceptual</x:v>
      </x:c>
      <x:c r="G7" s="80" t="str">
        <x:v>Parcial</x:v>
      </x:c>
      <x:c r="H7" s="80" t="str">
        <x:v>Parcial</x:v>
      </x:c>
      <x:c r="I7" s="80" t="str">
        <x:v>Sí</x:v>
      </x:c>
      <x:c r="J7" s="80" t="str">
        <x:v>Parcial</x:v>
      </x:c>
      <x:c r="K7" s="80" t="str">
        <x:v>Directo</x:v>
      </x:c>
      <x:c r="L7" s="80" t="str">
        <x:v>I01; I02; I03; I04; I05</x:v>
      </x:c>
      <x:c r="M7" s="80" t="str">
        <x:v>El framework CODECS exige evaluar digitalización por niveles y contexto, con capacidades, recursos, ecosistemas digitales y feedback de largo plazo; beneficios locales no prueban transición sostenible.</x:v>
      </x:c>
      <x:c r="N7" s="80" t="str">
        <x:v>Short communication prospectiva; sin validación longitudinal ni trazabilidad de un despliegue delimitado.</x:v>
      </x:c>
      <x:c r="O7" s="80" t="str">
        <x:v>Sustainable digitalisation - a system thinking approach for determining.pdf</x:v>
      </x:c>
      <x:c r="P7" s="80" t="str">
        <x:v>S1_SCOPUS_ID049_Sustainable_Digitalisation_System_Thinking.pdf</x:v>
      </x:c>
      <x:c r="Q7" s="80" t="str">
        <x:v>Añadir a matriz conceptual y ZIP de aceptados.</x:v>
      </x:c>
    </x:row>
    <x:row r="8">
      <x:c r="A8" s="80" t="n">
        <x:v>72</x:v>
      </x:c>
      <x:c r="B8" s="80" t="str">
        <x:v>Security landscape — IoT smart farming</x:v>
      </x:c>
      <x:c r="C8" s="80" t="str">
        <x:v>10.1016/j.cose.2025.104790</x:v>
      </x:c>
      <x:c r="D8" s="80" t="str">
        <x:v>Excluir — E05</x:v>
      </x:c>
      <x:c r="E8" s="80" t="str">
        <x:v>Alta</x:v>
      </x:c>
      <x:c r="F8" s="80" t="str">
        <x:v>Excluido</x:v>
      </x:c>
      <x:c r="G8" s="80" t="str">
        <x:v>Parcial</x:v>
      </x:c>
      <x:c r="H8" s="80" t="str">
        <x:v>Sí</x:v>
      </x:c>
      <x:c r="I8" s="80" t="str">
        <x:v>Parcial</x:v>
      </x:c>
      <x:c r="J8" s="80" t="str">
        <x:v>Parcial</x:v>
      </x:c>
      <x:c r="K8" s="80" t="str">
        <x:v>Parcial</x:v>
      </x:c>
      <x:c r="L8" s="80" t="str">
        <x:v>I01; I02; I03; I04; I05; E05</x:v>
      </x:c>
      <x:c r="M8" s="80" t="str">
        <x:v>Documenta una brecha clara entre seguridad prototípica y despliegue: la mayoría de soluciones está por debajo de TRL 6 y se requieren testbeds, interoperabilidad, monitoreo, mantenimiento y feedback para llegar a TRL 7–9.</x:v>
      </x:c>
      <x:c r="N8" s="80" t="str">
        <x:v>Tema restringido a ciberseguridad; TRL asignado por juicio experto, primaria mayormente de laboratorio y concepto de readiness ya cubierto por fuentes más generales del corpus.</x:v>
      </x:c>
      <x:c r="O8" s="80" t="str">
        <x:v>Systematic mapping study to assess security landscape for IoT-based smart.pdf</x:v>
      </x:c>
      <x:c r="P8" s="80"/>
      <x:c r="Q8" s="80" t="str">
        <x:v>No renombrar ni incluir en ZIP; conservar como referencia periférica si se discute ciberresiliencia.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80" t="str">
        <x:v>S1 — cierre de texto completo (18 de agosto de 2026)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  <x:c r="L1" s="80"/>
      <x:c r="M1" s="80"/>
      <x:c r="N1" s="80"/>
      <x:c r="O1" s="80"/>
      <x:c r="P1" s="80"/>
      <x:c r="Q1" s="80"/>
    </x:row>
    <x:row r="2">
      <x:c r="A2" s="80" t="str">
        <x:v>Se cerró S1 con dos textos finales recuperados (ID 057 e ID 080), ambos incluidos, y dos reportes no recuperados (ID 037 e ID 127) registrados como E07. E07 es control documental/PRISMA y no una exclusión después de lectura.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</x:row>
    <x:row r="3">
      <x:c r="A3" s="80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</x:row>
    <x:row r="4">
      <x:c r="A4" s="80" t="str">
        <x:v>ID_S1</x:v>
      </x:c>
      <x:c r="B4" s="80" t="str">
        <x:v>Título corto</x:v>
      </x:c>
      <x:c r="C4" s="80" t="str">
        <x:v>DOI</x:v>
      </x:c>
      <x:c r="D4" s="80" t="str">
        <x:v>Decisión</x:v>
      </x:c>
      <x:c r="E4" s="80" t="str">
        <x:v>Calidad</x:v>
      </x:c>
      <x:c r="F4" s="80" t="str">
        <x:v>Rol_corpus</x:v>
      </x:c>
      <x:c r="G4" s="80" t="str">
        <x:v>I12</x:v>
      </x:c>
      <x:c r="H4" s="80" t="str">
        <x:v>I23</x:v>
      </x:c>
      <x:c r="I4" s="80" t="str">
        <x:v>I3M</x:v>
      </x:c>
      <x:c r="J4" s="80" t="str">
        <x:v>IM1</x:v>
      </x:c>
      <x:c r="K4" s="80" t="str">
        <x:v>Tipo_relación</x:v>
      </x:c>
      <x:c r="L4" s="80" t="str">
        <x:v>Criterios / código</x:v>
      </x:c>
      <x:c r="M4" s="80" t="str">
        <x:v>Hallazgo central para A³M</x:v>
      </x:c>
      <x:c r="N4" s="80" t="str">
        <x:v>Limitación clave</x:v>
      </x:c>
      <x:c r="O4" s="80" t="str">
        <x:v>Archivo recibido</x:v>
      </x:c>
      <x:c r="P4" s="80" t="str">
        <x:v>PDF_final_renombrado</x:v>
      </x:c>
      <x:c r="Q4" s="80" t="str">
        <x:v>Acción documental</x:v>
      </x:c>
    </x:row>
    <x:row r="5">
      <x:c r="A5" s="80" t="n">
        <x:v>57</x:v>
      </x:c>
      <x:c r="B5" s="80" t="str">
        <x:v>Validation–Deployment Gap</x:v>
      </x:c>
      <x:c r="C5" s="80" t="str">
        <x:v>10.3390/informatics13010014</x:v>
      </x:c>
      <x:c r="D5" s="80" t="str">
        <x:v>Incluir</x:v>
      </x:c>
      <x:c r="E5" s="80" t="str">
        <x:v>Alta</x:v>
      </x:c>
      <x:c r="F5" s="80" t="str">
        <x:v>Núcleo conceptual</x:v>
      </x:c>
      <x:c r="G5" s="80" t="str">
        <x:v>Parcial</x:v>
      </x:c>
      <x:c r="H5" s="80" t="str">
        <x:v>Sí</x:v>
      </x:c>
      <x:c r="I5" s="80" t="str">
        <x:v>Sí</x:v>
      </x:c>
      <x:c r="J5" s="80" t="str">
        <x:v>Parcial</x:v>
      </x:c>
      <x:c r="K5" s="80" t="str">
        <x:v>Directo</x:v>
      </x:c>
      <x:c r="L5" s="80" t="str">
        <x:v>I01; I02; I03; I04; I05</x:v>
      </x:c>
      <x:c r="M5" s="80" t="str">
        <x:v>Demuestra que alto desempeño técnico no equivale a despliegue: 77.8% de tecnologías quedan en TRL ≤5 y sólo 3% presentan operación sostenida &gt;12 meses. Propone avanzar de validación técnica a contextual, económica, de adopción e impacto.</x:v>
      </x:c>
      <x:c r="N5" s="80" t="str">
        <x:v>Foco en comercialización/sistemas de información; TRL e índices compuestos son reconstruidos por los autores y no representan validación causal de A³M.</x:v>
      </x:c>
      <x:c r="O5" s="80" t="str">
        <x:v>The Validation–Deployment Gap in Agricultural Information Systems A Systematic Technology Readiness Assessment(1).pdf</x:v>
      </x:c>
      <x:c r="P5" s="80" t="str">
        <x:v>S1_SCOPUS_ID057_Validation_Deployment_Gap_Agricultural_Information_Systems.pdf</x:v>
      </x:c>
      <x:c r="Q5" s="80" t="str">
        <x:v>Añadir a matriz conceptual y ZIP final de aceptados.</x:v>
      </x:c>
    </x:row>
    <x:row r="6">
      <x:c r="A6" s="80" t="n">
        <x:v>80</x:v>
      </x:c>
      <x:c r="B6" s="80" t="str">
        <x:v>Responsible robotics design</x:v>
      </x:c>
      <x:c r="C6" s="80" t="str">
        <x:v>10.3389/frobt.2022.914850</x:v>
      </x:c>
      <x:c r="D6" s="80" t="str">
        <x:v>Incluir</x:v>
      </x:c>
      <x:c r="E6" s="80" t="str">
        <x:v>Moderada</x:v>
      </x:c>
      <x:c r="F6" s="80" t="str">
        <x:v>Núcleo conceptual</x:v>
      </x:c>
      <x:c r="G6" s="80" t="str">
        <x:v>Sí</x:v>
      </x:c>
      <x:c r="H6" s="80" t="str">
        <x:v>Sí</x:v>
      </x:c>
      <x:c r="I6" s="80" t="str">
        <x:v>Sí</x:v>
      </x:c>
      <x:c r="J6" s="80" t="str">
        <x:v>Parcial</x:v>
      </x:c>
      <x:c r="K6" s="80" t="str">
        <x:v>Directo</x:v>
      </x:c>
      <x:c r="L6" s="80" t="str">
        <x:v>I01; I02; I03; I04; I05</x:v>
      </x:c>
      <x:c r="M6" s="80" t="str">
        <x:v>La guía convierte condiciones del sistema de finca en criterios concretos de diseño y soporte: desempeño, integración, conectividad, mantenimiento, repuestos, servicio, habilidades y regulación. Es especialmente fuerte para I12, I23 e I3M.</x:v>
      </x:c>
      <x:c r="N6" s="80" t="str">
        <x:v>Perspective paper con caso prospectivo; no valida el diseño mediante un despliegue longitudinal y el ciclo de aprendizaje queda propuesto.</x:v>
      </x:c>
      <x:c r="O6" s="80" t="str">
        <x:v>Responsible robotics design–A systems approach to developing design guides for robotics in pasture-grazed dairy farming(1).pdf</x:v>
      </x:c>
      <x:c r="P6" s="80" t="str">
        <x:v>S1_SCOPUS_ID080_Responsible_Robotics_Design_Pasture_Dairy.pdf</x:v>
      </x:c>
      <x:c r="Q6" s="80" t="str">
        <x:v>Añadir a matriz conceptual y ZIP final de aceptados.</x:v>
      </x:c>
    </x:row>
    <x:row r="7">
      <x:c r="A7" s="80" t="n">
        <x:v>37</x:v>
      </x:c>
      <x:c r="B7" s="80" t="str">
        <x:v>Information subsystem / digital maturity</x:v>
      </x:c>
      <x:c r="C7" s="80"/>
      <x:c r="D7" s="80" t="str">
        <x:v>No evaluable — E07</x:v>
      </x:c>
      <x:c r="E7" s="80" t="str">
        <x:v>No evaluable</x:v>
      </x:c>
      <x:c r="F7" s="80" t="str">
        <x:v>No evaluable</x:v>
      </x:c>
      <x:c r="G7" s="80" t="str">
        <x:v>No</x:v>
      </x:c>
      <x:c r="H7" s="80" t="str">
        <x:v>No</x:v>
      </x:c>
      <x:c r="I7" s="80" t="str">
        <x:v>No</x:v>
      </x:c>
      <x:c r="J7" s="80" t="str">
        <x:v>No</x:v>
      </x:c>
      <x:c r="K7" s="80" t="str">
        <x:v>Ausencia de evidencia</x:v>
      </x:c>
      <x:c r="L7" s="80" t="str">
        <x:v>E07</x:v>
      </x:c>
      <x:c r="M7" s="80" t="str">
        <x:v>No fue posible realizar lectura a texto completo porque el reporte no se recuperó.</x:v>
      </x:c>
      <x:c r="N7" s="80" t="str">
        <x:v>Sin texto completo no puede establecerse pertinencia conceptual responsable.</x:v>
      </x:c>
      <x:c r="O7" s="80"/>
      <x:c r="P7" s="80"/>
      <x:c r="Q7" s="80" t="str">
        <x:v>Registrar como no recuperado en PRISMA/control documental; no contar como exclusión a texto completo.</x:v>
      </x:c>
    </x:row>
    <x:row r="8">
      <x:c r="A8" s="80" t="n">
        <x:v>127</x:v>
      </x:c>
      <x:c r="B8" s="80" t="str">
        <x:v>Digital maturity and sustainable performance</x:v>
      </x:c>
      <x:c r="C8" s="80" t="str">
        <x:v>10.1108/IJLM-03-2024-0144</x:v>
      </x:c>
      <x:c r="D8" s="80" t="str">
        <x:v>No evaluable — E07</x:v>
      </x:c>
      <x:c r="E8" s="80" t="str">
        <x:v>No evaluable</x:v>
      </x:c>
      <x:c r="F8" s="80" t="str">
        <x:v>No evaluable</x:v>
      </x:c>
      <x:c r="G8" s="80" t="str">
        <x:v>No</x:v>
      </x:c>
      <x:c r="H8" s="80" t="str">
        <x:v>No</x:v>
      </x:c>
      <x:c r="I8" s="80" t="str">
        <x:v>No</x:v>
      </x:c>
      <x:c r="J8" s="80" t="str">
        <x:v>No</x:v>
      </x:c>
      <x:c r="K8" s="80" t="str">
        <x:v>Ausencia de evidencia</x:v>
      </x:c>
      <x:c r="L8" s="80" t="str">
        <x:v>E07</x:v>
      </x:c>
      <x:c r="M8" s="80" t="str">
        <x:v>No fue posible realizar lectura a texto completo porque el reporte no se recuperó.</x:v>
      </x:c>
      <x:c r="N8" s="80" t="str">
        <x:v>Sin texto completo no puede establecerse pertinencia conceptual responsable.</x:v>
      </x:c>
      <x:c r="O8" s="80"/>
      <x:c r="P8" s="80"/>
      <x:c r="Q8" s="80" t="str">
        <x:v>Registrar como no recuperado en PRISMA/control documental; no contar como exclusión a texto completo.</x:v>
      </x:c>
    </x:row>
  </x:sheetData>
  <x:mergeCells>
    <x:mergeCell ref="A1:Q1"/>
    <x:mergeCell ref="A2:Q2"/>
  </x:mergeCells>
  <x:pageMargins left="0.7" right="0.7" top="0.75" bottom="0.75" header="0.3" footer="0.3"/>
</x:worksheet>
</file>