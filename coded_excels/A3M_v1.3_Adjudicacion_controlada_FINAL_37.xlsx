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d6053a5b4a84025" /></Relationships>
</file>

<file path=xl/workbook.xml><?xml version="1.0" encoding="utf-8"?>
<x:workbook xmlns:x="http://schemas.openxmlformats.org/spreadsheetml/2006/main">
  <x:sheets>
    <x:sheet xmlns:r="http://schemas.openxmlformats.org/officeDocument/2006/relationships" name="Adjudicacion_37" sheetId="1" r:id="R2759a65120c1439a"/>
    <x:sheet xmlns:r="http://schemas.openxmlformats.org/officeDocument/2006/relationships" name="Conteos_FINAL" sheetId="2" r:id="R84083b20680e423c"/>
    <x:sheet xmlns:r="http://schemas.openxmlformats.org/officeDocument/2006/relationships" name="Reglas_aplicadas" sheetId="3" r:id="R0ccd05a6ee30421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5">
    <x:font>
      <x:sz val="11"/>
      <x:name val="Carlito"/>
    </x:font>
    <x:font>
      <x:b/>
      <x:sz val="11"/>
      <x:color rgb="FFFFFFFF"/>
      <x:name val="Carlito"/>
    </x:font>
    <x:font>
      <x:b/>
      <x:sz val="14"/>
      <x:color rgb="FFFFFFFF"/>
      <x:name val="Carlito"/>
    </x:font>
    <x:font>
      <x:b/>
      <x:sz val="11"/>
      <x:name val="Carlito"/>
    </x:font>
    <x:font>
      <x:b/>
      <x:sz val="13"/>
      <x:color rgb="FFFFFFFF"/>
      <x:name val="Carlito"/>
    </x:font>
  </x:fonts>
  <x:fills count="7">
    <x:fill>
      <x:patternFill patternType="none"/>
    </x:fill>
    <x:fill>
      <x:patternFill patternType="gray125"/>
    </x:fill>
    <x:fill>
      <x:patternFill patternType="solid">
        <x:fgColor rgb="FF17365D"/>
      </x:patternFill>
    </x:fill>
    <x:fill>
      <x:patternFill patternType="solid">
        <x:fgColor rgb="FFEAF2F8"/>
      </x:patternFill>
    </x:fill>
    <x:fill>
      <x:patternFill patternType="solid">
        <x:fgColor rgb="FFE8F5E9"/>
      </x:patternFill>
    </x:fill>
    <x:fill>
      <x:patternFill patternType="solid">
        <x:fgColor rgb="FFD9EAF7"/>
      </x:patternFill>
    </x:fill>
    <x:fill>
      <x:patternFill patternType="solid">
        <x:fgColor rgb="FFE2F0D9"/>
      </x:patternFill>
    </x:fill>
  </x:fills>
  <x:borders count="2">
    <x:border/>
    <x:border/>
  </x:borders>
  <x:cellStyleXfs count="1">
    <x:xf numFmtId="0" fontId="0" fillId="0" borderId="0"/>
  </x:cellStyleXfs>
  <x:cellXfs count="5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0"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horizontal="center"/>
    </x:xf>
    <x:xf numFmtId="0" fontId="0" fillId="6" borderId="0" xfId="0" applyNumberFormat="1" applyFont="1" applyFill="1" applyBorder="1"/>
    <x:xf numFmtId="0" fontId="3" fillId="6" borderId="0" xfId="0" applyNumberFormat="1" applyFont="1" applyFill="1" applyBorder="1"/>
    <x:xf numFmtId="0" fontId="0" fillId="6" borderId="1" xfId="0" applyNumberFormat="1" applyFont="1" applyFill="1" applyBorder="1"/>
    <x:xf numFmtId="0" fontId="3" fillId="6"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3" fillId="5" borderId="0" xfId="0" applyNumberFormat="1" applyFont="1" applyFill="1" applyBorder="1" applyAlignment="1">
      <x:alignment horizontal="center" wrapText="1"/>
    </x:xf>
    <x:xf numFmtId="0" fontId="3" fillId="6" borderId="0" xfId="0" applyNumberFormat="1" applyFont="1" applyFill="1" applyBorder="1" applyAlignment="1">
      <x:alignment wrapText="1"/>
    </x:xf>
    <x:xf numFmtId="0" fontId="3" fillId="5" borderId="0" xfId="0" applyNumberFormat="1" applyFont="1" applyFill="1" applyBorder="1" applyAlignment="1">
      <x:alignment wrapText="1"/>
    </x:xf>
    <x:xf numFmtId="200" fontId="0" fillId="0" borderId="0" xfId="0" applyNumberFormat="1" applyFont="1" applyFill="1" applyBorder="1" applyAlignment="1">
      <x:alignment wrapText="1"/>
    </x:xf>
    <x:xf numFmtId="0" fontId="3" fillId="5" borderId="1" xfId="0" applyNumberFormat="1" applyFont="1" applyFill="1" applyBorder="1" applyAlignment="1">
      <x:alignment horizontal="center" wrapText="1"/>
    </x:xf>
    <x:xf numFmtId="0" fontId="3" fillId="6" borderId="1" xfId="0" applyNumberFormat="1" applyFont="1" applyFill="1" applyBorder="1" applyAlignment="1">
      <x:alignment wrapText="1"/>
    </x:xf>
    <x:xf numFmtId="0" fontId="3" fillId="5" borderId="1" xfId="0" applyNumberFormat="1" applyFont="1" applyFill="1" applyBorder="1" applyAlignment="1">
      <x:alignment wrapText="1"/>
    </x:xf>
    <x:xf numFmtId="200" fontId="0" fillId="0" borderId="1"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1" xfId="0" applyNumberFormat="1" applyFont="1" applyFill="1" applyBorder="1"/>
    <x:xf numFmtId="0" fontId="4" fillId="2" borderId="1" xfId="0" applyNumberFormat="1" applyFont="1" applyFill="1" applyBorder="1" applyAlignment="1">
      <x:alignment horizontal="center"/>
    </x:xf>
  </x:cellXfs>
  <x:cellStyles count="1">
    <x:cellStyle name="Normal" xfId="0"/>
  </x:cellStyles>
  <x:dxfs count="3">
    <x:dxf>
      <x:font>
        <x:b/>
      </x:font>
      <x:fill>
        <x:patternFill patternType="solid">
          <x:bgColor rgb="FFD9EAD3"/>
        </x:patternFill>
      </x:fill>
    </x:dxf>
    <x:dxf>
      <x:font>
        <x:b/>
      </x:font>
      <x:fill>
        <x:patternFill patternType="solid">
          <x:bgColor rgb="FFFFF2CC"/>
        </x:patternFill>
      </x:fill>
    </x:dxf>
    <x:dxf>
      <x:font>
        <x:b/>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5a6006e55a34cb3" /><Relationship Type="http://schemas.openxmlformats.org/officeDocument/2006/relationships/theme" Target="/xl/theme/theme1.xml" Id="R95bfcaea466a4860" /><Relationship Type="http://schemas.openxmlformats.org/officeDocument/2006/relationships/sharedStrings" Target="/xl/sharedStrings.xml" Id="Ra35891116c6e421d" /><Relationship Type="http://schemas.openxmlformats.org/officeDocument/2006/relationships/worksheet" Target="/xl/worksheets/sheet1.xml" Id="R2759a65120c1439a" /><Relationship Type="http://schemas.openxmlformats.org/officeDocument/2006/relationships/worksheet" Target="/xl/worksheets/sheet2.xml" Id="R84083b20680e423c" /><Relationship Type="http://schemas.openxmlformats.org/officeDocument/2006/relationships/worksheet" Target="/xl/worksheets/sheet3.xml" Id="R0ccd05a6ee30421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8" hidden="0" customWidth="1"/>
    <x:col min="2" max="2" width="10" hidden="0" customWidth="1"/>
    <x:col min="3" max="3" width="12" hidden="0" customWidth="1"/>
    <x:col min="4" max="4" width="9" hidden="0" customWidth="1"/>
    <x:col min="5" max="5" width="14" hidden="0" customWidth="1"/>
    <x:col min="6" max="6" width="19" hidden="0" customWidth="1"/>
    <x:col min="7" max="7" width="20" hidden="0" customWidth="1"/>
    <x:col min="8" max="8" width="12" hidden="0" customWidth="1"/>
    <x:col min="9" max="9" width="34" hidden="0" customWidth="1"/>
    <x:col min="10" max="10" width="40" hidden="0" customWidth="1"/>
    <x:col min="11" max="11" width="25" hidden="0" customWidth="1"/>
    <x:col min="12" max="12" width="62" hidden="0" customWidth="1"/>
    <x:col min="13" max="13" width="28" hidden="0" customWidth="1"/>
  </x:cols>
  <x:sheetData>
    <x:row r="1">
      <x:c r="A1" s="6" t="str">
        <x:v>Ronda</x:v>
      </x:c>
      <x:c r="B1" s="6" t="str">
        <x:v>Study_ID</x:v>
      </x:c>
      <x:c r="C1" s="6" t="str">
        <x:v>Original_ID</x:v>
      </x:c>
      <x:c r="D1" s="6" t="str">
        <x:v>Interfaz</x:v>
      </x:c>
      <x:c r="E1" s="6" t="str">
        <x:v>Código original</x:v>
      </x:c>
      <x:c r="F1" s="6" t="str">
        <x:v>Código evaluador nuevo</x:v>
      </x:c>
      <x:c r="G1" s="6" t="str">
        <x:v>Código adjudicado FINAL</x:v>
      </x:c>
      <x:c r="H1" s="6" t="str">
        <x:v>Confianza</x:v>
      </x:c>
      <x:c r="I1" s="6" t="str">
        <x:v>Regla/criterio decisivo</x:v>
      </x:c>
      <x:c r="J1" s="6" t="str">
        <x:v>Fuente principal</x:v>
      </x:c>
      <x:c r="K1" s="6" t="str">
        <x:v>Localizador de evidencia</x:v>
      </x:c>
      <x:c r="L1" s="6" t="str">
        <x:v>Fundamento de adjudicación</x:v>
      </x:c>
      <x:c r="M1" s="6" t="str">
        <x:v>Resultado frente a codificadores</x:v>
      </x:c>
    </x:row>
    <x:row r="2">
      <x:c r="A2" s="18" t="n">
        <x:v>1</x:v>
      </x:c>
      <x:c r="B2" s="14" t="str">
        <x:v>S05</x:v>
      </x:c>
      <x:c r="C2" s="14" t="str">
        <x:v>S1-015</x:v>
      </x:c>
      <x:c r="D2" s="14" t="str">
        <x:v>I3M</x:v>
      </x:c>
      <x:c r="E2" s="16" t="str">
        <x:v>P</x:v>
      </x:c>
      <x:c r="F2" s="16" t="str">
        <x:v>D</x:v>
      </x:c>
      <x:c r="G2" s="16" t="str">
        <x:v>D</x:v>
      </x:c>
      <x:c r="H2" s="16" t="str">
        <x:v>Alta</x:v>
      </x:c>
      <x:c r="I2" s="14" t="str">
        <x:v>I3M-D: dependencia→recurso→responsable→continuidad; G2/G7</x:v>
      </x:c>
      <x:c r="J2" s="14" t="str">
        <x:v>Digital Transformation in Grain Engineering and Post-Harvest Activities: A Case Study and Maturity Model Proposition</x:v>
      </x:c>
      <x:c r="K2" s="14" t="str">
        <x:v>turn2file0; pp. 5–9</x:v>
      </x:c>
      <x:c r="L2" s="14" t="str">
        <x:v>La empresa documenta dependencia de proveedores/sistemas heterogéneos, crea una división digital con responsabilidad centralizada, adquiere capacidades y ofrece monitoreo remoto/consultoría/servicios por suscripción; la continuidad y autonomía de largo plazo quedan explícitas en el mismo mecanismo.</x:v>
      </x:c>
      <x:c r="M2" s="14" t="str">
        <x:v>Adoptar código nuevo</x:v>
      </x:c>
    </x:row>
    <x:row r="3">
      <x:c r="A3" s="18" t="n">
        <x:v>1</x:v>
      </x:c>
      <x:c r="B3" s="14" t="str">
        <x:v>S08</x:v>
      </x:c>
      <x:c r="C3" s="14" t="str">
        <x:v>S1-025</x:v>
      </x:c>
      <x:c r="D3" s="14" t="str">
        <x:v>I3M</x:v>
      </x:c>
      <x:c r="E3" s="16" t="str">
        <x:v>P</x:v>
      </x:c>
      <x:c r="F3" s="16" t="str">
        <x:v>D</x:v>
      </x:c>
      <x:c r="G3" s="16" t="str">
        <x:v>D</x:v>
      </x:c>
      <x:c r="H3" s="16" t="str">
        <x:v>Alta</x:v>
      </x:c>
      <x:c r="I3" s="14" t="str">
        <x:v>I3M-D; evidencia conceptual permitida si la cadena está completa</x:v>
      </x:c>
      <x:c r="J3" s="14" t="str">
        <x:v>Practice insights for the responsible adoption of smart farming technologies</x:v>
      </x:c>
      <x:c r="K3" s="14" t="str">
        <x:v>turn2file6; pp. 10–12</x:v>
      </x:c>
      <x:c r="L3" s="14" t="str">
        <x:v>La estrategia VHT identifica a la empresa emergente como proveedor central de adopción y propone una red continua de productores/asesores para aprendizaje y desarrollo de capacidades. La falta de institucionalización posterior limita la implementación, pero no la completitud documental del mecanismo.</x:v>
      </x:c>
      <x:c r="M3" s="14" t="str">
        <x:v>Adoptar código nuevo</x:v>
      </x:c>
    </x:row>
    <x:row r="4">
      <x:c r="A4" s="18" t="n">
        <x:v>1</x:v>
      </x:c>
      <x:c r="B4" s="14" t="str">
        <x:v>S09</x:v>
      </x:c>
      <x:c r="C4" s="14" t="str">
        <x:v>S1-042</x:v>
      </x:c>
      <x:c r="D4" s="14" t="str">
        <x:v>I3M</x:v>
      </x:c>
      <x:c r="E4" s="16" t="str">
        <x:v>P</x:v>
      </x:c>
      <x:c r="F4" s="16" t="str">
        <x:v>D</x:v>
      </x:c>
      <x:c r="G4" s="16" t="str">
        <x:v>D</x:v>
      </x:c>
      <x:c r="H4" s="16" t="str">
        <x:v>Alta</x:v>
      </x:c>
      <x:c r="I4" s="14" t="str">
        <x:v>I3M-D; soporte institucionalizado en el modelo de negocio</x:v>
      </x:c>
      <x:c r="J4" s="14" t="str">
        <x:v>Balanced readiness level assessment (BRLa): A tool for exploring new and emerging technologies</x:v>
      </x:c>
      <x:c r="K4" s="14" t="str">
        <x:v>turn2file1; p. 7</x:v>
      </x:c>
      <x:c r="L4" s="14" t="str">
        <x:v>El uso de Nofence exige aprendizaje; el agricultor recibe soporte mediante el servicio Nofence y la relación usuario–organización forma parte del modelo de negocio. Recurso, responsable y continuidad están explícitamente vinculados.</x:v>
      </x:c>
      <x:c r="M4" s="14" t="str">
        <x:v>Adoptar código nuevo</x:v>
      </x:c>
    </x:row>
    <x:row r="5">
      <x:c r="A5" s="18" t="n">
        <x:v>1</x:v>
      </x:c>
      <x:c r="B5" s="14" t="str">
        <x:v>S14</x:v>
      </x:c>
      <x:c r="C5" s="14" t="str">
        <x:v>S1-052</x:v>
      </x:c>
      <x:c r="D5" s="14" t="str">
        <x:v>I3M</x:v>
      </x:c>
      <x:c r="E5" s="16" t="str">
        <x:v>P</x:v>
      </x:c>
      <x:c r="F5" s="16" t="str">
        <x:v>D</x:v>
      </x:c>
      <x:c r="G5" s="16" t="str">
        <x:v>P</x:v>
      </x:c>
      <x:c r="H5" s="16" t="str">
        <x:v>Media</x:v>
      </x:c>
      <x:c r="I5" s="14" t="str">
        <x:v>G8: ante duda D/P conservar P si cumple el umbral P</x:v>
      </x:c>
      <x:c r="J5" s="14" t="str">
        <x:v>Communication as the primary driver of IoT-based smart farming adoption</x:v>
      </x:c>
      <x:c r="K5" s="14" t="str">
        <x:v>turn1file0; pp. 3–4 y 11</x:v>
      </x:c>
      <x:c r="L5" s="14" t="str">
        <x:v>El artículo vincula instituciones con capacitación, extensión e infraestructura y recomienda asistencia técnica continua, pero el mecanismo se formula principalmente como soporte a adopción a nivel poblacional, no como una cadena operacional acotada de continuidad/recuperación. P es más conservador.</x:v>
      </x:c>
      <x:c r="M5" s="14" t="str">
        <x:v>Conservar código original</x:v>
      </x:c>
    </x:row>
    <x:row r="6">
      <x:c r="A6" s="18" t="n">
        <x:v>1</x:v>
      </x:c>
      <x:c r="B6" s="14" t="str">
        <x:v>S19</x:v>
      </x:c>
      <x:c r="C6" s="14" t="str">
        <x:v>S1-068</x:v>
      </x:c>
      <x:c r="D6" s="14" t="str">
        <x:v>I3M</x:v>
      </x:c>
      <x:c r="E6" s="16" t="str">
        <x:v>P</x:v>
      </x:c>
      <x:c r="F6" s="16" t="str">
        <x:v>ND</x:v>
      </x:c>
      <x:c r="G6" s="16" t="str">
        <x:v>ND</x:v>
      </x:c>
      <x:c r="H6" s="16" t="str">
        <x:v>Alta</x:v>
      </x:c>
      <x:c r="I6" s="14" t="str">
        <x:v>I3M-ND: madurez/capacidades genéricas sin dependencia→recurso operacional</x:v>
      </x:c>
      <x:c r="J6" s="14" t="str">
        <x:v>A capability maturity model for assessing digital integration in smart farming</x:v>
      </x:c>
      <x:c r="K6" s="14" t="str">
        <x:v>turn1file1; pp. 6, 9–12</x:v>
      </x:c>
      <x:c r="L6" s="14" t="str">
        <x:v>Los casos describen madurez, colaboración, habilidades y proveedores, pero no reconstruyen para una misma dependencia operacional un recurso de soporte con provisión responsable y continuidad/recuperación. Las menciones son de capacidad/madurez.</x:v>
      </x:c>
      <x:c r="M6" s="14" t="str">
        <x:v>Adoptar código nuevo</x:v>
      </x:c>
    </x:row>
    <x:row r="7">
      <x:c r="A7" s="18" t="n">
        <x:v>1</x:v>
      </x:c>
      <x:c r="B7" s="14" t="str">
        <x:v>S29</x:v>
      </x:c>
      <x:c r="C7" s="14" t="str">
        <x:v>S1-130</x:v>
      </x:c>
      <x:c r="D7" s="14" t="str">
        <x:v>I3M</x:v>
      </x:c>
      <x:c r="E7" s="16" t="str">
        <x:v>P</x:v>
      </x:c>
      <x:c r="F7" s="16" t="str">
        <x:v>D</x:v>
      </x:c>
      <x:c r="G7" s="16" t="str">
        <x:v>P</x:v>
      </x:c>
      <x:c r="H7" s="16" t="str">
        <x:v>Media-Alta</x:v>
      </x:c>
      <x:c r="I7" s="14" t="str">
        <x:v>G5/G8: revisión; no cerrar D uniendo síntesis general y ejemplo distinto</x:v>
      </x:c>
      <x:c r="J7" s="14" t="str">
        <x:v>Practices, Challenges, and Future of Digital Transformation in Smallholder Agriculture</x:v>
      </x:c>
      <x:c r="K7" s="14" t="str">
        <x:v>turn7file0; p. 13</x:v>
      </x:c>
      <x:c r="L7" s="14" t="str">
        <x:v>La revisión relaciona alfabetización digital con educación/extensión y aporta ejemplos de apoyo entre pares. Sin embargo, la cadena D completa requiere no ensamblar la responsabilidad institucional general con un ejemplo de agricultores distinto. P conserva la dependencia→recurso sin sobrecerrar.</x:v>
      </x:c>
      <x:c r="M7" s="14" t="str">
        <x:v>Conservar código original</x:v>
      </x:c>
    </x:row>
    <x:row r="8">
      <x:c r="A8" s="18" t="n">
        <x:v>1</x:v>
      </x:c>
      <x:c r="B8" s="14" t="str">
        <x:v>S31</x:v>
      </x:c>
      <x:c r="C8" s="14" t="str">
        <x:v>S2-006</x:v>
      </x:c>
      <x:c r="D8" s="14" t="str">
        <x:v>I3M</x:v>
      </x:c>
      <x:c r="E8" s="16" t="str">
        <x:v>P</x:v>
      </x:c>
      <x:c r="F8" s="16" t="str">
        <x:v>D</x:v>
      </x:c>
      <x:c r="G8" s="16" t="str">
        <x:v>ND</x:v>
      </x:c>
      <x:c r="H8" s="16" t="str">
        <x:v>Media-Alta</x:v>
      </x:c>
      <x:c r="I8" s="14" t="str">
        <x:v>G5: una revisión requiere una cadena reconstruida dentro de un ejemplo acotado</x:v>
      </x:c>
      <x:c r="J8" s="14" t="str">
        <x:v>Synergizing IoT, AI, and blockchain for smart agriculture</x:v>
      </x:c>
      <x:c r="K8" s="14" t="str">
        <x:v>turn2file2; p. 18</x:v>
      </x:c>
      <x:c r="L8" s="14" t="str">
        <x:v>La sección recomienda a desarrolladores crear backup/failover para continuidad ante fallas, pero es una recomendación general de la revisión, no una cadena reconstruida dentro de un despliegue/ejemplo primario acotado. Bajo G5, no debe promoverse a D; al no existir ancla acotada suficiente en este pasaje, se recomienda ND.</x:v>
      </x:c>
      <x:c r="M8" s="14" t="str">
        <x:v>Tercer resultado (ni original ni nuevo)</x:v>
      </x:c>
    </x:row>
    <x:row r="9">
      <x:c r="A9" s="18" t="n">
        <x:v>1</x:v>
      </x:c>
      <x:c r="B9" s="14" t="str">
        <x:v>S36</x:v>
      </x:c>
      <x:c r="C9" s="14" t="str">
        <x:v>S2-013</x:v>
      </x:c>
      <x:c r="D9" s="14" t="str">
        <x:v>I3M</x:v>
      </x:c>
      <x:c r="E9" s="16" t="str">
        <x:v>D</x:v>
      </x:c>
      <x:c r="F9" s="16" t="str">
        <x:v>P</x:v>
      </x:c>
      <x:c r="G9" s="16" t="str">
        <x:v>D</x:v>
      </x:c>
      <x:c r="H9" s="16" t="str">
        <x:v>Alta</x:v>
      </x:c>
      <x:c r="I9" s="14" t="str">
        <x:v>I3M-D: existe otra cadena completa dentro del mismo artículo</x:v>
      </x:c>
      <x:c r="J9" s="14" t="str">
        <x:v>Public irrigation decision support systems (IDSS) in Italy: Description, evaluation and national context overview</x:v>
      </x:c>
      <x:c r="K9" s="14" t="str">
        <x:v>turn6file0/turn49file0; p. 4</x:v>
      </x:c>
      <x:c r="L9" s="14" t="str">
        <x:v>Además del fallback NASA POWER, el artículo documenta dependencia de datos meteorológicos, redes de estaciones como recurso, mantenimiento provisto por las regiones y frecuencias explícitas de mantenimiento. Esa cadena satisface I3M-D sin necesidad de inferir un proveedor para NASA POWER.</x:v>
      </x:c>
      <x:c r="M9" s="14" t="str">
        <x:v>Conservar código original</x:v>
      </x:c>
    </x:row>
    <x:row r="10">
      <x:c r="A10" s="18" t="n">
        <x:v>1</x:v>
      </x:c>
      <x:c r="B10" s="14" t="str">
        <x:v>S37</x:v>
      </x:c>
      <x:c r="C10" s="14" t="str">
        <x:v>S2-018</x:v>
      </x:c>
      <x:c r="D10" s="14" t="str">
        <x:v>I3M</x:v>
      </x:c>
      <x:c r="E10" s="16" t="str">
        <x:v>P</x:v>
      </x:c>
      <x:c r="F10" s="16" t="str">
        <x:v>D</x:v>
      </x:c>
      <x:c r="G10" s="16" t="str">
        <x:v>D</x:v>
      </x:c>
      <x:c r="H10" s="16" t="str">
        <x:v>Media-Alta</x:v>
      </x:c>
      <x:c r="I10" s="14" t="str">
        <x:v>I3M-D: recuperación/continuidad técnica permitida; mismo mecanismo</x:v>
      </x:c>
      <x:c r="J10" s="14" t="str">
        <x:v>Adaptive and predictive decision support system for irrigation scheduling</x:v>
      </x:c>
      <x:c r="K10" s="14" t="str">
        <x:v>fuente del corpus; pp. 3–4</x:v>
      </x:c>
      <x:c r="L10" s="14" t="str">
        <x:v>La dependencia es la ejecución humana variable; el grower/irrigation manager es actor explícito, flowmeters/sensores miden la ejecución y el DSS reestima parámetros y recalcula instrucciones periódicamente para compensar desviaciones. El mecanismo técnico preserva continuidad.</x:v>
      </x:c>
      <x:c r="M10" s="14" t="str">
        <x:v>Adoptar código nuevo</x:v>
      </x:c>
    </x:row>
    <x:row r="11">
      <x:c r="A11" s="18" t="n">
        <x:v>1</x:v>
      </x:c>
      <x:c r="B11" s="14" t="str">
        <x:v>S39</x:v>
      </x:c>
      <x:c r="C11" s="14" t="str">
        <x:v>S2-024</x:v>
      </x:c>
      <x:c r="D11" s="14" t="str">
        <x:v>I3M</x:v>
      </x:c>
      <x:c r="E11" s="16" t="str">
        <x:v>P</x:v>
      </x:c>
      <x:c r="F11" s="16" t="str">
        <x:v>ND</x:v>
      </x:c>
      <x:c r="G11" s="16" t="str">
        <x:v>ND</x:v>
      </x:c>
      <x:c r="H11" s="16" t="str">
        <x:v>Alta</x:v>
      </x:c>
      <x:c r="I11" s="14" t="str">
        <x:v>I3M-ND: recomendaciones de diseño/investigación sin soporte operacional</x:v>
      </x:c>
      <x:c r="J11" s="14" t="str">
        <x:v>Real-time applications in perennial trees and vegetables – A review</x:v>
      </x:c>
      <x:c r="K11" s="14" t="str">
        <x:v>turn3file0; pp. 11–13</x:v>
      </x:c>
      <x:c r="L11" s="14" t="str">
        <x:v>La revisión enumera limitaciones y trabajo futuro (calibración, protocolos, modelos y evaluaciones prolongadas), pero no identifica para una dependencia un recurso de soporte con responsable y continuidad/recuperación. Son requisitos de diseño/investigación.</x:v>
      </x:c>
      <x:c r="M11" s="14" t="str">
        <x:v>Adoptar código nuevo</x:v>
      </x:c>
    </x:row>
    <x:row r="12">
      <x:c r="A12" s="18" t="n">
        <x:v>1</x:v>
      </x:c>
      <x:c r="B12" s="14" t="str">
        <x:v>S41</x:v>
      </x:c>
      <x:c r="C12" s="14" t="str">
        <x:v>S2-027</x:v>
      </x:c>
      <x:c r="D12" s="14" t="str">
        <x:v>I3M</x:v>
      </x:c>
      <x:c r="E12" s="16" t="str">
        <x:v>P</x:v>
      </x:c>
      <x:c r="F12" s="16" t="str">
        <x:v>D</x:v>
      </x:c>
      <x:c r="G12" s="16" t="str">
        <x:v>D</x:v>
      </x:c>
      <x:c r="H12" s="16" t="str">
        <x:v>Alta</x:v>
      </x:c>
      <x:c r="I12" s="14" t="str">
        <x:v>I3M-D: soporte de uso/continuance con actor y continuidad explícitos</x:v>
      </x:c>
      <x:c r="J12" s="14" t="str">
        <x:v>Agricultural information systems acceptance and continuance in rural communities</x:v>
      </x:c>
      <x:c r="K12" s="14" t="str">
        <x:v>turn6file1; pp. 6–8</x:v>
      </x:c>
      <x:c r="L12" s="14" t="str">
        <x:v>El estudio vincula la continuidad de AIS con apoyo externo; development actors/donors aportan patrocinio y soporte técnico, y se especifica ongoing technical support para el uso del servicio. La cadena está explícita en el mismo mecanismo de continuance.</x:v>
      </x:c>
      <x:c r="M12" s="14" t="str">
        <x:v>Adoptar código nuevo</x:v>
      </x:c>
    </x:row>
    <x:row r="13">
      <x:c r="A13" s="18" t="n">
        <x:v>1</x:v>
      </x:c>
      <x:c r="B13" s="14" t="str">
        <x:v>S43</x:v>
      </x:c>
      <x:c r="C13" s="14" t="str">
        <x:v>S2-029</x:v>
      </x:c>
      <x:c r="D13" s="14" t="str">
        <x:v>I3M</x:v>
      </x:c>
      <x:c r="E13" s="16" t="str">
        <x:v>D</x:v>
      </x:c>
      <x:c r="F13" s="16" t="str">
        <x:v>P</x:v>
      </x:c>
      <x:c r="G13" s="16" t="str">
        <x:v>P</x:v>
      </x:c>
      <x:c r="H13" s="16" t="str">
        <x:v>Alta</x:v>
      </x:c>
      <x:c r="I13" s="14" t="str">
        <x:v>I3M-P: recurso y recuperación sí; responsable/proveedor no explícito</x:v>
      </x:c>
      <x:c r="J13" s="14" t="str">
        <x:v>Processing and filtering of leaf area index time series assessed by in-situ WSN</x:v>
      </x:c>
      <x:c r="K13" s="14" t="str">
        <x:v>turn3file1; pp. 4–5</x:v>
      </x:c>
      <x:c r="L13" s="14" t="str">
        <x:v>La redundancia de sensores es un recurso real de continuidad frente a fallas y resultó necesaria, pero el artículo no asigna explícitamente a un actor/proveedor la responsabilidad de asegurar ese soporte para la misma dependencia. No debe inferirse el equipo investigador como responsable.</x:v>
      </x:c>
      <x:c r="M13" s="14" t="str">
        <x:v>Adoptar código nuevo</x:v>
      </x:c>
    </x:row>
    <x:row r="14">
      <x:c r="A14" s="18" t="n">
        <x:v>1</x:v>
      </x:c>
      <x:c r="B14" s="14" t="str">
        <x:v>S44</x:v>
      </x:c>
      <x:c r="C14" s="14" t="str">
        <x:v>S2-030</x:v>
      </x:c>
      <x:c r="D14" s="14" t="str">
        <x:v>I3M</x:v>
      </x:c>
      <x:c r="E14" s="16" t="str">
        <x:v>P</x:v>
      </x:c>
      <x:c r="F14" s="16" t="str">
        <x:v>D</x:v>
      </x:c>
      <x:c r="G14" s="16" t="str">
        <x:v>P</x:v>
      </x:c>
      <x:c r="H14" s="16" t="str">
        <x:v>Media-Alta</x:v>
      </x:c>
      <x:c r="I14" s="14" t="str">
        <x:v>G8: la capacitación está explícita, pero no una cadena operacional acotada de servicio</x:v>
      </x:c>
      <x:c r="J14" s="14" t="str">
        <x:v>Improving decision support systems with machine learning: Identifying barriers to adoption</x:v>
      </x:c>
      <x:c r="K14" s="14" t="str">
        <x:v>turn6file2; p. 4</x:v>
      </x:c>
      <x:c r="L14" s="14" t="str">
        <x:v>Se identifican habilidades necesarias para instalar, calibrar, diagnosticar y reparar equipos, y se asigna a sociedades/instituciones educativas la formación. No obstante, es una propuesta de desarrollo de fuerza laboral general, no un mecanismo de soporte operacional acotado a un DSS; P es la lectura conservadora.</x:v>
      </x:c>
      <x:c r="M14" s="14" t="str">
        <x:v>Conservar código original</x:v>
      </x:c>
    </x:row>
    <x:row r="15">
      <x:c r="A15" s="18" t="n">
        <x:v>1</x:v>
      </x:c>
      <x:c r="B15" s="14" t="str">
        <x:v>S46</x:v>
      </x:c>
      <x:c r="C15" s="14" t="str">
        <x:v>S2-033</x:v>
      </x:c>
      <x:c r="D15" s="14" t="str">
        <x:v>I3M</x:v>
      </x:c>
      <x:c r="E15" s="16" t="str">
        <x:v>D</x:v>
      </x:c>
      <x:c r="F15" s="16" t="str">
        <x:v>P</x:v>
      </x:c>
      <x:c r="G15" s="16" t="str">
        <x:v>P</x:v>
      </x:c>
      <x:c r="H15" s="16" t="str">
        <x:v>Alta</x:v>
      </x:c>
      <x:c r="I15" s="14" t="str">
        <x:v>I3M-P: dependencia→recurso→recuperación completos; falta actor/proveedor responsable</x:v>
      </x:c>
      <x:c r="J15" s="14" t="str">
        <x:v>IoT-Based Precision Irrigation System Featuring Multi-Sensor Monitoring and Scheduled Automated Water-Control Gates</x:v>
      </x:c>
      <x:c r="K15" s="14" t="str">
        <x:v>turn4file0; pp. 12–13</x:v>
      </x:c>
      <x:c r="L15" s="14" t="str">
        <x:v>El reset GSM cada 30 s recupera el sistema ante stalls y mantiene el control, pero no se identifica un actor/proveedor responsable de asegurar esa dependencia. La red Grameenphone es el medio de comunicación, no un responsable de recuperación.</x:v>
      </x:c>
      <x:c r="M15" s="14" t="str">
        <x:v>Adoptar código nuevo</x:v>
      </x:c>
    </x:row>
    <x:row r="16">
      <x:c r="A16" s="18" t="n">
        <x:v>1</x:v>
      </x:c>
      <x:c r="B16" s="14" t="str">
        <x:v>S06</x:v>
      </x:c>
      <x:c r="C16" s="14" t="str">
        <x:v>S1-019</x:v>
      </x:c>
      <x:c r="D16" s="14" t="str">
        <x:v>IM1</x:v>
      </x:c>
      <x:c r="E16" s="16" t="str">
        <x:v>ND</x:v>
      </x:c>
      <x:c r="F16" s="16" t="str">
        <x:v>D</x:v>
      </x:c>
      <x:c r="G16" s="16" t="str">
        <x:v>D</x:v>
      </x:c>
      <x:c r="H16" s="16" t="str">
        <x:v>Alta</x:v>
      </x:c>
      <x:c r="I16" s="14" t="str">
        <x:v>IM1-D: evento→diagnóstico→cambio implementado→verificación/resultados</x:v>
      </x:c>
      <x:c r="J16" s="14" t="str">
        <x:v>Digital transformation of agriculture: A new integrated modeling framework for arable farm enterprises</x:v>
      </x:c>
      <x:c r="K16" s="14" t="str">
        <x:v>turn5file2; pp. 17–18</x:v>
      </x:c>
      <x:c r="L16" s="14" t="str">
        <x:v>La granja tuvo una integración empresarial fallida; se diagnostican sistemas desalineados y baja aceptación; se reintegran sistemas/equipos; después el nuevo sistema se ajusta a la operación y mejora tiempos/eficiencia, seguido de evaluación global mediante cuestionarios/entrevistas.</x:v>
      </x:c>
      <x:c r="M16" s="14" t="str">
        <x:v>Adoptar código nuevo</x:v>
      </x:c>
    </x:row>
    <x:row r="17">
      <x:c r="A17" s="18" t="n">
        <x:v>1</x:v>
      </x:c>
      <x:c r="B17" s="14" t="str">
        <x:v>S28</x:v>
      </x:c>
      <x:c r="C17" s="14" t="str">
        <x:v>S1-117</x:v>
      </x:c>
      <x:c r="D17" s="14" t="str">
        <x:v>I23</x:v>
      </x:c>
      <x:c r="E17" s="16" t="str">
        <x:v>D</x:v>
      </x:c>
      <x:c r="F17" s="16" t="str">
        <x:v>ND</x:v>
      </x:c>
      <x:c r="G17" s="16" t="str">
        <x:v>ND</x:v>
      </x:c>
      <x:c r="H17" s="16" t="str">
        <x:v>Alta</x:v>
      </x:c>
      <x:c r="I17" s="14" t="str">
        <x:v>I23-C1/C5/C6: falta ancla explícita criterio→capacidad configurada en el ejemplo de revisión</x:v>
      </x:c>
      <x:c r="J17" s="14" t="str">
        <x:v>Supporting ecosystem for farmers’ food traceability participation: A systematic review</x:v>
      </x:c>
      <x:c r="K17" s="14" t="str">
        <x:v>turn5file0; pp. 4–5</x:v>
      </x:c>
      <x:c r="L17" s="14" t="str">
        <x:v>La revisión reporta evaluaciones de intervenciones/RFID y resultados de costo/usabilidad, pero no reconstruye en una misma entrada un criterio de aplicación suficientemente explícito enlazado a una capacidad configurada específica y a su evaluación/resultado. No se deben completar elementos desde el título o estudios citados.</x:v>
      </x:c>
      <x:c r="M17" s="14" t="str">
        <x:v>Adoptar código nuevo</x:v>
      </x:c>
    </x:row>
    <x:row r="18">
      <x:c r="A18" s="20" t="n">
        <x:v>2</x:v>
      </x:c>
      <x:c r="B18" s="14" t="str">
        <x:v>S04</x:v>
      </x:c>
      <x:c r="C18" s="14" t="str">
        <x:v>S1-014</x:v>
      </x:c>
      <x:c r="D18" s="14" t="str">
        <x:v>I12</x:v>
      </x:c>
      <x:c r="E18" s="16" t="str">
        <x:v>P</x:v>
      </x:c>
      <x:c r="F18" s="16" t="str">
        <x:v>D</x:v>
      </x:c>
      <x:c r="G18" s="16" t="str">
        <x:v>D</x:v>
      </x:c>
      <x:c r="H18" s="16" t="str">
        <x:v>Alta</x:v>
      </x:c>
      <x:c r="I18" s="14" t="str">
        <x:v>I12-D: condición crítica→requisito/intervención explícita</x:v>
      </x:c>
      <x:c r="J18" s="14" t="str">
        <x:v>Knowledge Transfer on Digital Transformation: An Analysis of the Olive Landscape in Andalusia, Spain</x:v>
      </x:c>
      <x:c r="K18" s="14" t="str">
        <x:v>turn25file1; sección de recomendaciones de KT</x:v>
      </x:c>
      <x:c r="L18" s="14" t="str">
        <x:v>El diagnóstico identifica debilidad de espacios y función de transferencia de conocimiento; el artículo traduce esas condiciones en acciones explícitas: financiar formación de extensionistas, reforzar vínculos investigación-extensión y usar proyectos demostrativos. La condición se convierte en requisito/intervención.</x:v>
      </x:c>
      <x:c r="M18" s="14" t="str">
        <x:v>Adoptar código nuevo</x:v>
      </x:c>
    </x:row>
    <x:row r="19">
      <x:c r="A19" s="20" t="n">
        <x:v>2</x:v>
      </x:c>
      <x:c r="B19" s="14" t="str">
        <x:v>S10</x:v>
      </x:c>
      <x:c r="C19" s="14" t="str">
        <x:v>S1-046</x:v>
      </x:c>
      <x:c r="D19" s="14" t="str">
        <x:v>I23</x:v>
      </x:c>
      <x:c r="E19" s="16" t="str">
        <x:v>ND</x:v>
      </x:c>
      <x:c r="F19" s="16" t="str">
        <x:v>P</x:v>
      </x:c>
      <x:c r="G19" s="16" t="str">
        <x:v>ND</x:v>
      </x:c>
      <x:c r="H19" s="16" t="str">
        <x:v>Alta</x:v>
      </x:c>
      <x:c r="I19" s="14" t="str">
        <x:v>I23-C2/G3: arquitectura conceptual amplia sin aplicación/despliegue acotado</x:v>
      </x:c>
      <x:c r="J19" s="14" t="str">
        <x:v>A concept for application of integrated digital technologies to enhance future smart agricultural systems</x:v>
      </x:c>
      <x:c r="K19" s="14" t="str">
        <x:v>turn25file8; objetivo/arquitectura y trabajo futuro</x:v>
      </x:c>
      <x:c r="L19" s="14" t="str">
        <x:v>Existe una relación conceptual necesidad→arquitectura integrada, pero el paper presenta un concepto general para smart agriculture y declara que el desarrollo, prueba y demostración práctica quedan fuera de alcance/futuro. No hay una aplicación agrícola acotada que cumpla el umbral P.</x:v>
      </x:c>
      <x:c r="M19" s="14" t="str">
        <x:v>Conservar código original</x:v>
      </x:c>
    </x:row>
    <x:row r="20">
      <x:c r="A20" s="20" t="n">
        <x:v>2</x:v>
      </x:c>
      <x:c r="B20" s="14" t="str">
        <x:v>S11</x:v>
      </x:c>
      <x:c r="C20" s="14" t="str">
        <x:v>S1-049</x:v>
      </x:c>
      <x:c r="D20" s="14" t="str">
        <x:v>I12</x:v>
      </x:c>
      <x:c r="E20" s="16" t="str">
        <x:v>P</x:v>
      </x:c>
      <x:c r="F20" s="16" t="str">
        <x:v>D</x:v>
      </x:c>
      <x:c r="G20" s="16" t="str">
        <x:v>D</x:v>
      </x:c>
      <x:c r="H20" s="16" t="str">
        <x:v>Alta</x:v>
      </x:c>
      <x:c r="I20" s="14" t="str">
        <x:v>I12-D: limitación sistémica→requisito de marco/intervención</x:v>
      </x:c>
      <x:c r="J20" s="14" t="str">
        <x:v>Sustainable digitalisation: a system-thinking approach for determining costs and benefits in the agri-sector</x:v>
      </x:c>
      <x:c r="K20" s="14" t="str">
        <x:v>turn26file0; planteamiento y marco multiescalar</x:v>
      </x:c>
      <x:c r="L20" s="14" t="str">
        <x:v>El artículo identifica que evaluaciones fragmentadas impiden capturar costos/beneficios y relaciones entre escalas, y deriva explícitamente un marco contextual y multinivel para abordar esas limitaciones. La condición crítica se traduce en una restricción/requisito metodológico concreto.</x:v>
      </x:c>
      <x:c r="M20" s="14" t="str">
        <x:v>Adoptar código nuevo</x:v>
      </x:c>
    </x:row>
    <x:row r="21">
      <x:c r="A21" s="20" t="n">
        <x:v>2</x:v>
      </x:c>
      <x:c r="B21" s="14" t="str">
        <x:v>S12</x:v>
      </x:c>
      <x:c r="C21" s="14" t="str">
        <x:v>S1-050</x:v>
      </x:c>
      <x:c r="D21" s="14" t="str">
        <x:v>IM1</x:v>
      </x:c>
      <x:c r="E21" s="16" t="str">
        <x:v>ND</x:v>
      </x:c>
      <x:c r="F21" s="16" t="str">
        <x:v>P</x:v>
      </x:c>
      <x:c r="G21" s="16" t="str">
        <x:v>P</x:v>
      </x:c>
      <x:c r="H21" s="16" t="str">
        <x:v>Alta</x:v>
      </x:c>
      <x:c r="I21" s="14" t="str">
        <x:v>IM1-P: evento operacional→diagnóstico explícito; sin cambio+retest implementados</x:v>
      </x:c>
      <x:c r="J21" s="14" t="str">
        <x:v>Development of an integrated smart farm system for open-field soybean cultivation in former paddy fields</x:v>
      </x:c>
      <x:c r="K21" s="14" t="str">
        <x:v>turn25file0; pp. 20–21</x:v>
      </x:c>
      <x:c r="L21" s="14" t="str">
        <x:v>Durante pruebas de campo muchos operadores tuvieron dificultades para usar/adaptar el sistema; el artículo vincula el problema con alfabetización digital limitada, familiaridad con monitoreo/control/feedback y usabilidad. Hay evento y diagnóstico en el mismo despliegue, pero las mejoras propuestas son futuras.</x:v>
      </x:c>
      <x:c r="M21" s="14" t="str">
        <x:v>Adoptar código nuevo</x:v>
      </x:c>
    </x:row>
    <x:row r="22">
      <x:c r="A22" s="20" t="n">
        <x:v>2</x:v>
      </x:c>
      <x:c r="B22" s="14" t="str">
        <x:v>S15</x:v>
      </x:c>
      <x:c r="C22" s="14" t="str">
        <x:v>S1-053</x:v>
      </x:c>
      <x:c r="D22" s="14" t="str">
        <x:v>I23</x:v>
      </x:c>
      <x:c r="E22" s="16" t="str">
        <x:v>P</x:v>
      </x:c>
      <x:c r="F22" s="16" t="str">
        <x:v>ND</x:v>
      </x:c>
      <x:c r="G22" s="16" t="str">
        <x:v>ND</x:v>
      </x:c>
      <x:c r="H22" s="16" t="str">
        <x:v>Alta</x:v>
      </x:c>
      <x:c r="I22" s="14" t="str">
        <x:v>I23-C1/C2/G5: marco/impactos multi-caso sin cadena A2→A3 acotada</x:v>
      </x:c>
      <x:c r="J22" s="14" t="str">
        <x:v>An integrated socio-cyber-physical system framework to assess responsible digitalisation in agriculture</x:v>
      </x:c>
      <x:c r="K22" s="14" t="str">
        <x:v>turn25file2; Living Labs e ilustraciones</x:v>
      </x:c>
      <x:c r="L22" s="14" t="str">
        <x:v>El estudio aplica un marco de impactos en múltiples Living Labs y usa ilustraciones conceptuales, pero no reconstruye una cadena de un criterio de aplicación hacia una capacidad tecnológica configurada específica dentro de un único despliegue primario. La evidencia es de relaciones sistémicas, no I23.</x:v>
      </x:c>
      <x:c r="M22" s="14" t="str">
        <x:v>Adoptar código nuevo</x:v>
      </x:c>
    </x:row>
    <x:row r="23">
      <x:c r="A23" s="20" t="n">
        <x:v>2</x:v>
      </x:c>
      <x:c r="B23" s="14" t="str">
        <x:v>S16</x:v>
      </x:c>
      <x:c r="C23" s="14" t="str">
        <x:v>S1-056</x:v>
      </x:c>
      <x:c r="D23" s="14" t="str">
        <x:v>I23</x:v>
      </x:c>
      <x:c r="E23" s="16" t="str">
        <x:v>ND</x:v>
      </x:c>
      <x:c r="F23" s="16" t="str">
        <x:v>P</x:v>
      </x:c>
      <x:c r="G23" s="16" t="str">
        <x:v>P</x:v>
      </x:c>
      <x:c r="H23" s="16" t="str">
        <x:v>Alta</x:v>
      </x:c>
      <x:c r="I23" s="14" t="str">
        <x:v>I23-P: criterio acotado→capacidad configurada en un caso de uso; sin test/resultados criterio-enlazados</x:v>
      </x:c>
      <x:c r="J23" s="14" t="str">
        <x:v>A Framework to Measure Maturity of Industrial IoT Technology for Agricultural Regulatory Compliance Activities and Decentralization</x:v>
      </x:c>
      <x:c r="K23" s="14" t="str">
        <x:v>turn26file1; caso de uso de drones/madurez</x:v>
      </x:c>
      <x:c r="L23" s="14" t="str">
        <x:v>En el caso de monitoreo de salud de cultivos con drones se explicitan atributos de calidad/integridad de datos y una capacidad configurada concreta: sensores multiespectrales más flujos automatizados en nube. El nivel de madurez no cuenta como resultado de prueba, por lo que alcanza P, no D.</x:v>
      </x:c>
      <x:c r="M23" s="14" t="str">
        <x:v>Adoptar código nuevo</x:v>
      </x:c>
    </x:row>
    <x:row r="24">
      <x:c r="A24" s="20" t="n">
        <x:v>2</x:v>
      </x:c>
      <x:c r="B24" s="14" t="str">
        <x:v>S17</x:v>
      </x:c>
      <x:c r="C24" s="14" t="str">
        <x:v>S1-057</x:v>
      </x:c>
      <x:c r="D24" s="14" t="str">
        <x:v>IM1</x:v>
      </x:c>
      <x:c r="E24" s="16" t="str">
        <x:v>ND</x:v>
      </x:c>
      <x:c r="F24" s="16" t="str">
        <x:v>P</x:v>
      </x:c>
      <x:c r="G24" s="16" t="str">
        <x:v>ND</x:v>
      </x:c>
      <x:c r="H24" s="16" t="str">
        <x:v>Alta</x:v>
      </x:c>
      <x:c r="I24" s="14" t="str">
        <x:v>G5/IM1-C: síntesis agregada de revisión, no evento→diagnóstico dentro de un ejemplo primario</x:v>
      </x:c>
      <x:c r="J24" s="14" t="str">
        <x:v>The Validation–Deployment Gap in Agricultural Information Systems</x:v>
      </x:c>
      <x:c r="K24" s="14" t="str">
        <x:v>turn26file9; síntesis de aceptación en estudios de campo</x:v>
      </x:c>
      <x:c r="L24" s="14" t="str">
        <x:v>La revisión agrega varios estudios y reporta aceptación aproximada de 64–72% y rechazos asociados a barreras como capital, pero no reconstruye un evento operacional y su diagnóstico dentro de un único estudio/despliegue primario. No puede ensamblarse el ciclo IM1 a partir del agregado.</x:v>
      </x:c>
      <x:c r="M24" s="14" t="str">
        <x:v>Conservar código original</x:v>
      </x:c>
    </x:row>
    <x:row r="25">
      <x:c r="A25" s="20" t="n">
        <x:v>2</x:v>
      </x:c>
      <x:c r="B25" s="14" t="str">
        <x:v>S18</x:v>
      </x:c>
      <x:c r="C25" s="14" t="str">
        <x:v>S1-058</x:v>
      </x:c>
      <x:c r="D25" s="14" t="str">
        <x:v>I23</x:v>
      </x:c>
      <x:c r="E25" s="16" t="str">
        <x:v>ND</x:v>
      </x:c>
      <x:c r="F25" s="16" t="str">
        <x:v>P</x:v>
      </x:c>
      <x:c r="G25" s="16" t="str">
        <x:v>ND</x:v>
      </x:c>
      <x:c r="H25" s="16" t="str">
        <x:v>Alta</x:v>
      </x:c>
      <x:c r="I25" s="14" t="str">
        <x:v>I23-C2/G4: estrategia y pilotos propuestos, no despliegue existente</x:v>
      </x:c>
      <x:c r="J25" s="14" t="str">
        <x:v>Digitalisation of food value chains in developing countries: systemic barriers and a digital-maturity-stratified strategy</x:v>
      </x:c>
      <x:c r="K25" s="14" t="str">
        <x:v>turn29file4; fases 6.1–6.4 y trabajo futuro</x:v>
      </x:c>
      <x:c r="L25" s="14" t="str">
        <x:v>El paper propone pilotos diferenciados por madurez (SMS, servicios agrupados, APIs, sensores/AI/blockchain) y métricas de éxito, pero son una estrategia de implementación propuesta; la validación empírica del marco se deja como investigación futura. No satisface el anclaje de aplicación/despliegue de I23.</x:v>
      </x:c>
      <x:c r="M25" s="14" t="str">
        <x:v>Conservar código original</x:v>
      </x:c>
    </x:row>
    <x:row r="26">
      <x:c r="A26" s="20" t="n">
        <x:v>2</x:v>
      </x:c>
      <x:c r="B26" s="14" t="str">
        <x:v>S22</x:v>
      </x:c>
      <x:c r="C26" s="14" t="str">
        <x:v>S1-084</x:v>
      </x:c>
      <x:c r="D26" s="14" t="str">
        <x:v>I12</x:v>
      </x:c>
      <x:c r="E26" s="16" t="str">
        <x:v>P</x:v>
      </x:c>
      <x:c r="F26" s="16" t="str">
        <x:v>D</x:v>
      </x:c>
      <x:c r="G26" s="16" t="str">
        <x:v>D</x:v>
      </x:c>
      <x:c r="H26" s="16" t="str">
        <x:v>Alta</x:v>
      </x:c>
      <x:c r="I26" s="14" t="str">
        <x:v>I12-D: función/condición débil→recomendación específica vinculada</x:v>
      </x:c>
      <x:c r="J26" s="14" t="str">
        <x:v>Functional analysis of technological innovation systems enabling digital transformation in the olive sector</x:v>
      </x:c>
      <x:c r="K26" s="14" t="str">
        <x:v>turn27file3; recomendaciones de política</x:v>
      </x:c>
      <x:c r="L26" s="14" t="str">
        <x:v>A partir de las funciones y desafíos identificados, el estudio formula recomendaciones individualizadas para corregir debilidades de transferencia de conocimiento, recursos, orientación de búsqueda y desarrollo empresarial. La condición diagnosticada se traduce explícitamente en acciones/requisitos.</x:v>
      </x:c>
      <x:c r="M26" s="14" t="str">
        <x:v>Adoptar código nuevo</x:v>
      </x:c>
    </x:row>
    <x:row r="27">
      <x:c r="A27" s="20" t="n">
        <x:v>2</x:v>
      </x:c>
      <x:c r="B27" s="14" t="str">
        <x:v>S24</x:v>
      </x:c>
      <x:c r="C27" s="14" t="str">
        <x:v>S1-099</x:v>
      </x:c>
      <x:c r="D27" s="14" t="str">
        <x:v>I23</x:v>
      </x:c>
      <x:c r="E27" s="16" t="str">
        <x:v>P</x:v>
      </x:c>
      <x:c r="F27" s="16" t="str">
        <x:v>ND</x:v>
      </x:c>
      <x:c r="G27" s="16" t="str">
        <x:v>ND</x:v>
      </x:c>
      <x:c r="H27" s="16" t="str">
        <x:v>Alta</x:v>
      </x:c>
      <x:c r="I27" s="14" t="str">
        <x:v>G5/I23-C1: ilustración de revisión basada en varias fuentes; no cadena primaria acotada</x:v>
      </x:c>
      <x:c r="J27" s="14" t="str">
        <x:v>Digital transformation of agriculture and rural areas: A socio-cyber-physical system framework to support responsibilisation</x:v>
      </x:c>
      <x:c r="K27" s="14" t="str">
        <x:v>turn28file4; pp. 6–9</x:v>
      </x:c>
      <x:c r="L27" s="14" t="str">
        <x:v>La ilustración de lechería combina evidencia de varios artículos para mostrar relaciones socio-ciber-físicas. No reconstruye un único estudio primario con criterio de aplicación y capacidad configurada enlazados; por tanto, G5 impide usar el ejemplo compuesto como I23.</x:v>
      </x:c>
      <x:c r="M27" s="14" t="str">
        <x:v>Adoptar código nuevo</x:v>
      </x:c>
    </x:row>
    <x:row r="28">
      <x:c r="A28" s="20" t="n">
        <x:v>2</x:v>
      </x:c>
      <x:c r="B28" s="14" t="str">
        <x:v>S31</x:v>
      </x:c>
      <x:c r="C28" s="14" t="str">
        <x:v>S2-006</x:v>
      </x:c>
      <x:c r="D28" s="14" t="str">
        <x:v>I23</x:v>
      </x:c>
      <x:c r="E28" s="16" t="str">
        <x:v>P</x:v>
      </x:c>
      <x:c r="F28" s="16" t="str">
        <x:v>D</x:v>
      </x:c>
      <x:c r="G28" s="16" t="str">
        <x:v>D</x:v>
      </x:c>
      <x:c r="H28" s="16" t="str">
        <x:v>Media-Alta</x:v>
      </x:c>
      <x:c r="I28" s="14" t="str">
        <x:v>G5/I23-D: una revisión reconstruye un único ejemplo primario con criterio, configuración, comparación y resultado</x:v>
      </x:c>
      <x:c r="J28" s="14" t="str">
        <x:v>Synergizing IoT, AI, and blockchain for smart agriculture</x:v>
      </x:c>
      <x:c r="K28" s="14" t="str">
        <x:v>turn2file2; p. 18, referencia [99]</x:v>
      </x:c>
      <x:c r="L28" s="14" t="str">
        <x:v>La revisión enlaza una necesidad de conectividad fiable/coste-eficiente con configuraciones LPWAN, 5G e híbridas, y reconstruye un estudio de despliegues reales que compara esas alternativas y reporta hasta 30% de ahorro y mayor dependabilidad. La cadena queda dentro del mismo ejemplo primario [99].</x:v>
      </x:c>
      <x:c r="M28" s="14" t="str">
        <x:v>Adoptar código nuevo</x:v>
      </x:c>
    </x:row>
    <x:row r="29">
      <x:c r="A29" s="20" t="n">
        <x:v>2</x:v>
      </x:c>
      <x:c r="B29" s="14" t="str">
        <x:v>S33</x:v>
      </x:c>
      <x:c r="C29" s="14" t="str">
        <x:v>S2-010</x:v>
      </x:c>
      <x:c r="D29" s="14" t="str">
        <x:v>IM1</x:v>
      </x:c>
      <x:c r="E29" s="16" t="str">
        <x:v>ND</x:v>
      </x:c>
      <x:c r="F29" s="16" t="str">
        <x:v>P</x:v>
      </x:c>
      <x:c r="G29" s="16" t="str">
        <x:v>P</x:v>
      </x:c>
      <x:c r="H29" s="16" t="str">
        <x:v>Alta</x:v>
      </x:c>
      <x:c r="I29" s="14" t="str">
        <x:v>IM1-P/G5: evento→diagnóstico dentro de un ejemplo primario; mejora adicional pertenece a otra referencia</x:v>
      </x:c>
      <x:c r="J29" s="14" t="str">
        <x:v>Internet of Things in aquaculture: A review of the challenges and potential solutions</x:v>
      </x:c>
      <x:c r="K29" s="14" t="str">
        <x:v>turn28file8; p. 6</x:v>
      </x:c>
      <x:c r="L29" s="14" t="str">
        <x:v>En un ejemplo primario con LoRaWAN se reporta pérdida de paquetes de hasta 20% y se atribuye principalmente a obstáculos físicos entre nodos y gateway. Eso cumple evento→diagnóstico. La reducción a 5% mediante acknowledgment procede de otra referencia y no puede usarse para cerrar D.</x:v>
      </x:c>
      <x:c r="M29" s="14" t="str">
        <x:v>Adoptar código nuevo</x:v>
      </x:c>
    </x:row>
    <x:row r="30">
      <x:c r="A30" s="20" t="n">
        <x:v>2</x:v>
      </x:c>
      <x:c r="B30" s="14" t="str">
        <x:v>S34</x:v>
      </x:c>
      <x:c r="C30" s="14" t="str">
        <x:v>S2-011</x:v>
      </x:c>
      <x:c r="D30" s="14" t="str">
        <x:v>I23</x:v>
      </x:c>
      <x:c r="E30" s="16" t="str">
        <x:v>ND</x:v>
      </x:c>
      <x:c r="F30" s="16" t="str">
        <x:v>P</x:v>
      </x:c>
      <x:c r="G30" s="16" t="str">
        <x:v>P</x:v>
      </x:c>
      <x:c r="H30" s="16" t="str">
        <x:v>Media-Alta</x:v>
      </x:c>
      <x:c r="I30" s="14" t="str">
        <x:v>I23-P/G5: ejemplo primario nombrado con objetivo/criterio y capacidad específica</x:v>
      </x:c>
      <x:c r="J30" s="14" t="str">
        <x:v>Resource-Efficient Ubiquitous Sensor Networks for Smart Agriculture: A Survey</x:v>
      </x:c>
      <x:c r="K30" s="14" t="str">
        <x:v>turn28file0; p. 16</x:v>
      </x:c>
      <x:c r="L30" s="14" t="str">
        <x:v>La revisión identifica AgriTalk como plataforma edge/fog concreta para agricultura cuyo objetivo es reducir retardos. Esto reconstruye un ejemplo acotado criterio de baja latencia→capacidad edge/fog, pero no aporta en ese pasaje una evaluación/resultados criterion-linked suficientes para D.</x:v>
      </x:c>
      <x:c r="M30" s="14" t="str">
        <x:v>Adoptar código nuevo</x:v>
      </x:c>
    </x:row>
    <x:row r="31">
      <x:c r="A31" s="20" t="n">
        <x:v>2</x:v>
      </x:c>
      <x:c r="B31" s="14" t="str">
        <x:v>S35</x:v>
      </x:c>
      <x:c r="C31" s="14" t="str">
        <x:v>S2-012</x:v>
      </x:c>
      <x:c r="D31" s="14" t="str">
        <x:v>I23</x:v>
      </x:c>
      <x:c r="E31" s="16" t="str">
        <x:v>ND</x:v>
      </x:c>
      <x:c r="F31" s="16" t="str">
        <x:v>P</x:v>
      </x:c>
      <x:c r="G31" s="16" t="str">
        <x:v>ND</x:v>
      </x:c>
      <x:c r="H31" s="16" t="str">
        <x:v>Alta</x:v>
      </x:c>
      <x:c r="I31" s="14" t="str">
        <x:v>G5/I23-C1-C2: síntesis por clases y regiones sin una cadena primaria reconstruida</x:v>
      </x:c>
      <x:c r="J31" s="14" t="str">
        <x:v>The IoT and AI in Agriculture: The Time Is Now—A Systematic Review of Smart Sensing Technologies</x:v>
      </x:c>
      <x:c r="K31" s="14" t="str">
        <x:v>turn28file7; tabla de aplicaciones y secciones de barreras/tendencias</x:v>
      </x:c>
      <x:c r="L31" s="14" t="str">
        <x:v>La revisión combina clases de aplicación, sensores, algoritmos y ejemplos regionales; además propone Edge AI frente a problemas de conectividad. No reconstruye en un único estudio primario un criterio de aplicación→capacidad configurada. Unir tabla, barreras y tendencias sería stitching.</x:v>
      </x:c>
      <x:c r="M31" s="14" t="str">
        <x:v>Conservar código original</x:v>
      </x:c>
    </x:row>
    <x:row r="32">
      <x:c r="A32" s="20" t="n">
        <x:v>2</x:v>
      </x:c>
      <x:c r="B32" s="14" t="str">
        <x:v>S36</x:v>
      </x:c>
      <x:c r="C32" s="14" t="str">
        <x:v>S2-013</x:v>
      </x:c>
      <x:c r="D32" s="14" t="str">
        <x:v>IM1</x:v>
      </x:c>
      <x:c r="E32" s="16" t="str">
        <x:v>P</x:v>
      </x:c>
      <x:c r="F32" s="16" t="str">
        <x:v>ND</x:v>
      </x:c>
      <x:c r="G32" s="16" t="str">
        <x:v>ND</x:v>
      </x:c>
      <x:c r="H32" s="16" t="str">
        <x:v>Alta</x:v>
      </x:c>
      <x:c r="I32" s="14" t="str">
        <x:v>IM1-C/G5: evolución según requisitos ≠ evento→diagnóstico de aprendizaje</x:v>
      </x:c>
      <x:c r="J32" s="14" t="str">
        <x:v>Public irrigation decision support systems (IDSS) in Italy: Description, evaluation and national context overview</x:v>
      </x:c>
      <x:c r="K32" s="14" t="str">
        <x:v>turn49file0; sección 5.2 IRRISAT</x:v>
      </x:c>
      <x:c r="L32" s="14" t="str">
        <x:v>La revisión indica que IRRISAT recibió mejoras sucesivas y automatización según requerimientos de agricultores y que metodologías fueron validadas en campo, pero no reconstruye un evento operacional específico, su diagnóstico causal y el cambio subsecuente en la misma secuencia. No alcanza el umbral P de IM1.</x:v>
      </x:c>
      <x:c r="M32" s="14" t="str">
        <x:v>Adoptar código nuevo</x:v>
      </x:c>
    </x:row>
    <x:row r="33">
      <x:c r="A33" s="20" t="n">
        <x:v>2</x:v>
      </x:c>
      <x:c r="B33" s="14" t="str">
        <x:v>S39</x:v>
      </x:c>
      <x:c r="C33" s="14" t="str">
        <x:v>S2-024</x:v>
      </x:c>
      <x:c r="D33" s="14" t="str">
        <x:v>IM1</x:v>
      </x:c>
      <x:c r="E33" s="16" t="str">
        <x:v>P</x:v>
      </x:c>
      <x:c r="F33" s="16" t="str">
        <x:v>ND</x:v>
      </x:c>
      <x:c r="G33" s="16" t="str">
        <x:v>ND</x:v>
      </x:c>
      <x:c r="H33" s="16" t="str">
        <x:v>Alta</x:v>
      </x:c>
      <x:c r="I33" s="14" t="str">
        <x:v>IM1-C/G5/G10: problemas y mejoras entre estudios no constituyen ciclo de aprendizaje</x:v>
      </x:c>
      <x:c r="J33" s="14" t="str">
        <x:v>Real-time applications in perennial trees and vegetables – A review</x:v>
      </x:c>
      <x:c r="K33" s="14" t="str">
        <x:v>turn3file0; discusión/conclusiones</x:v>
      </x:c>
      <x:c r="L33" s="14" t="str">
        <x:v>La revisión sintetiza limitaciones de sensores, calibración, actuadores e interoperabilidad y propone investigación futura. No reconstruye dentro de un mismo despliegue un evento operacional seguido de diagnóstico; combinar fallas y soluciones de estudios distintos violaría G5.</x:v>
      </x:c>
      <x:c r="M33" s="14" t="str">
        <x:v>Adoptar código nuevo</x:v>
      </x:c>
    </x:row>
    <x:row r="34">
      <x:c r="A34" s="20" t="n">
        <x:v>2</x:v>
      </x:c>
      <x:c r="B34" s="14" t="str">
        <x:v>S42</x:v>
      </x:c>
      <x:c r="C34" s="14" t="str">
        <x:v>S2-028</x:v>
      </x:c>
      <x:c r="D34" s="14" t="str">
        <x:v>IM1</x:v>
      </x:c>
      <x:c r="E34" s="16" t="str">
        <x:v>P</x:v>
      </x:c>
      <x:c r="F34" s="16" t="str">
        <x:v>ND</x:v>
      </x:c>
      <x:c r="G34" s="16" t="str">
        <x:v>ND</x:v>
      </x:c>
      <x:c r="H34" s="16" t="str">
        <x:v>Alta</x:v>
      </x:c>
      <x:c r="I34" s="14" t="str">
        <x:v>IM1-C/G10: adaptación algorítmica y control cerrado no equivalen a aprendizaje de despliegue</x:v>
      </x:c>
      <x:c r="J34" s="14" t="str">
        <x:v>Internet of Things-enabled smart irrigation systems for precision water management: A systematic review</x:v>
      </x:c>
      <x:c r="K34" s="14" t="str">
        <x:v>turn28file2; control adaptativo y limitaciones</x:v>
      </x:c>
      <x:c r="L34" s="14" t="str">
        <x:v>Los ejemplos de DSS adaptativos, realimentación y estimación de parámetros describen control rutinario/algorítmico, explícitamente excluido por IM1. La revisión además señala que faltan despliegues prolongados, pero no reconstruye un evento→diagnóstico humano/organizacional acotado.</x:v>
      </x:c>
      <x:c r="M34" s="14" t="str">
        <x:v>Adoptar código nuevo</x:v>
      </x:c>
    </x:row>
    <x:row r="35">
      <x:c r="A35" s="20" t="n">
        <x:v>2</x:v>
      </x:c>
      <x:c r="B35" s="14" t="str">
        <x:v>S43</x:v>
      </x:c>
      <x:c r="C35" s="14" t="str">
        <x:v>S2-029</x:v>
      </x:c>
      <x:c r="D35" s="14" t="str">
        <x:v>IM1</x:v>
      </x:c>
      <x:c r="E35" s="16" t="str">
        <x:v>D</x:v>
      </x:c>
      <x:c r="F35" s="16" t="str">
        <x:v>P</x:v>
      </x:c>
      <x:c r="G35" s="16" t="str">
        <x:v>P</x:v>
      </x:c>
      <x:c r="H35" s="16" t="str">
        <x:v>Alta</x:v>
      </x:c>
      <x:c r="I35" s="14" t="str">
        <x:v>IM1-P: evento→diagnóstico presente; cambio/retest insuficientemente especificados</x:v>
      </x:c>
      <x:c r="J35" s="14" t="str">
        <x:v>Processing and filtering of leaf area index time series assessed by in-situ WSN</x:v>
      </x:c>
      <x:c r="K35" s="14" t="str">
        <x:v>turn3file1; pp. 4–5</x:v>
      </x:c>
      <x:c r="L35" s="14" t="str">
        <x:v>El despliegue tuvo interrupciones por alimentación y streams fragmentados por problemas de software; el paper atribuye causas concretas y señala que los problemas de software se corrigieron. Sin embargo, no especifica suficientemente la modificación implementada ni un retest posterior atribuible a ella para cerrar D.</x:v>
      </x:c>
      <x:c r="M35" s="14" t="str">
        <x:v>Adoptar código nuevo</x:v>
      </x:c>
    </x:row>
    <x:row r="36">
      <x:c r="A36" s="20" t="n">
        <x:v>2</x:v>
      </x:c>
      <x:c r="B36" s="14" t="str">
        <x:v>S46</x:v>
      </x:c>
      <x:c r="C36" s="14" t="str">
        <x:v>S2-033</x:v>
      </x:c>
      <x:c r="D36" s="14" t="str">
        <x:v>IM1</x:v>
      </x:c>
      <x:c r="E36" s="16" t="str">
        <x:v>ND</x:v>
      </x:c>
      <x:c r="F36" s="16" t="str">
        <x:v>P</x:v>
      </x:c>
      <x:c r="G36" s="16" t="str">
        <x:v>P</x:v>
      </x:c>
      <x:c r="H36" s="16" t="str">
        <x:v>Alta</x:v>
      </x:c>
      <x:c r="I36" s="14" t="str">
        <x:v>IM1-P/G10: evento→diagnóstico sí; recuperación preprogramada no es cambio por aprendizaje</x:v>
      </x:c>
      <x:c r="J36" s="14" t="str">
        <x:v>IoT-Based Precision Irrigation System Featuring Multi-Sensor Monitoring and Scheduled Automated Water-Control Gates</x:v>
      </x:c>
      <x:c r="K36" s="14" t="str">
        <x:v>turn4file0; pp. 12–13</x:v>
      </x:c>
      <x:c r="L36" s="14" t="str">
        <x:v>Se observan interrupciones GSM/GPRS de 1–2 min, 20–30 veces al día, concentradas al mediodía y atribuidas a congestión/carga/señal. Esto cumple evento→diagnóstico. El reset cada 30 s ya era un mecanismo de recuperación y no una modificación inducida por el diagnóstico, por lo que no hay D.</x:v>
      </x:c>
      <x:c r="M36" s="14" t="str">
        <x:v>Adoptar código nuevo</x:v>
      </x:c>
    </x:row>
    <x:row r="37">
      <x:c r="A37" s="20" t="n">
        <x:v>2</x:v>
      </x:c>
      <x:c r="B37" s="14" t="str">
        <x:v>S48</x:v>
      </x:c>
      <x:c r="C37" s="14" t="str">
        <x:v>S2-036</x:v>
      </x:c>
      <x:c r="D37" s="14" t="str">
        <x:v>I23</x:v>
      </x:c>
      <x:c r="E37" s="16" t="str">
        <x:v>P</x:v>
      </x:c>
      <x:c r="F37" s="16" t="str">
        <x:v>D</x:v>
      </x:c>
      <x:c r="G37" s="16" t="str">
        <x:v>D</x:v>
      </x:c>
      <x:c r="H37" s="16" t="str">
        <x:v>Alta</x:v>
      </x:c>
      <x:c r="I37" s="14" t="str">
        <x:v>I23-D: requisito de aplicación→prototipo configurado→prueba de 12 meses→resultado</x:v>
      </x:c>
      <x:c r="J37" s="14" t="str">
        <x:v>Powering Agriculture IoT Sensors Using Natural Temperature Differences Between Air and Soil: Measurement and Evaluation</x:v>
      </x:c>
      <x:c r="K37" s="14" t="str">
        <x:v>turn46file2/turn48file0; experimento y conclusiones</x:v>
      </x:c>
      <x:c r="L37" s="14" t="str">
        <x:v>El objetivo acotado es alimentar nodos IoT donde baterías son imprácticas; se configura un prototipo con TEG para aprovechar gradiente suelo-aire, se prueba durante 12 meses y se reportan 7852.2 J, desempeño tras conversión y límites operativos. La cadena completa satisface I23-D.</x:v>
      </x:c>
      <x:c r="M37" s="14" t="str">
        <x:v>Adoptar código nuevo</x:v>
      </x:c>
    </x:row>
    <x:row r="38">
      <x:c r="A38" s="20" t="n">
        <x:v>2</x:v>
      </x:c>
      <x:c r="B38" s="14" t="str">
        <x:v>S48</x:v>
      </x:c>
      <x:c r="C38" s="14" t="str">
        <x:v>S2-036</x:v>
      </x:c>
      <x:c r="D38" s="14" t="str">
        <x:v>IM1</x:v>
      </x:c>
      <x:c r="E38" s="16" t="str">
        <x:v>ND</x:v>
      </x:c>
      <x:c r="F38" s="16" t="str">
        <x:v>P</x:v>
      </x:c>
      <x:c r="G38" s="16" t="str">
        <x:v>P</x:v>
      </x:c>
      <x:c r="H38" s="16" t="str">
        <x:v>Alta</x:v>
      </x:c>
      <x:c r="I38" s="14" t="str">
        <x:v>IM1-P: evento→diagnóstico; modificación propuesta no implementada/retesteada</x:v>
      </x:c>
      <x:c r="J38" s="14" t="str">
        <x:v>Powering Agriculture IoT Sensors Using Natural Temperature Differences Between Air and Soil: Measurement and Evaluation</x:v>
      </x:c>
      <x:c r="K38" s="14" t="str">
        <x:v>turn48file0; discusión/conclusiones</x:v>
      </x:c>
      <x:c r="L38" s="14" t="str">
        <x:v>Durante invierno la diferencia térmica resulta demasiado baja y el voltaje cae por debajo del umbral del convertidor; el paper diagnostica el límite y propone conectar dos o tres TEG en serie. Como esa modificación se plantea para trabajo futuro y no se implementa/retestea, corresponde P, no D.</x:v>
      </x:c>
      <x:c r="M38" s="14" t="str">
        <x:v>Adoptar código nuevo</x:v>
      </x:c>
    </x:row>
  </x:sheetData>
  <x:conditionalFormatting sqref="G2:G38">
    <x:cfRule type="expression" dxfId="0" priority="1">
      <x:formula>G2="D"</x:formula>
    </x:cfRule>
    <x:cfRule type="expression" dxfId="1" priority="2">
      <x:formula>G2="P"</x:formula>
    </x:cfRule>
    <x:cfRule type="expression" dxfId="2" priority="3">
      <x:formula>G2="ND"</x:formula>
    </x:cfRule>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34" hidden="0" customWidth="1"/>
    <x:col min="2" max="2" width="12" hidden="0" customWidth="1"/>
    <x:col min="3" max="3" width="12" hidden="0" customWidth="1"/>
    <x:col min="4" max="4" width="42" hidden="0" customWidth="1"/>
    <x:col min="5" max="5" width="12" hidden="0" customWidth="1"/>
    <x:col min="6" max="6" width="28" hidden="0" customWidth="1"/>
    <x:col min="7" max="7" width="12" hidden="0" customWidth="1"/>
    <x:col min="8" max="8" width="10" hidden="0" customWidth="1"/>
    <x:col min="9" max="9" width="10" hidden="0" customWidth="1"/>
    <x:col min="10" max="10" width="10" hidden="0" customWidth="1"/>
  </x:cols>
  <x:sheetData>
    <x:row r="1">
      <x:c r="A1" s="24" t="str">
        <x:v>A3M v1.3 — Conteos finales post-adjudicación de los 37 desacuerdos</x:v>
      </x:c>
    </x:row>
    <x:row r="3">
      <x:c r="A3" s="40" t="str">
        <x:v>Interfaz</x:v>
      </x:c>
      <x:c r="B3" s="40" t="str">
        <x:v>D original</x:v>
      </x:c>
      <x:c r="C3" s="40" t="str">
        <x:v>P original</x:v>
      </x:c>
      <x:c r="D3" s="40" t="str">
        <x:v>ND original</x:v>
      </x:c>
      <x:c r="E3" s="40" t="str">
        <x:v>D FINAL</x:v>
      </x:c>
      <x:c r="F3" s="40" t="str">
        <x:v>P FINAL</x:v>
      </x:c>
      <x:c r="G3" s="40" t="str">
        <x:v>ND FINAL</x:v>
      </x:c>
      <x:c r="H3" s="40" t="str">
        <x:v>ΔD</x:v>
      </x:c>
      <x:c r="I3" s="40" t="str">
        <x:v>ΔP</x:v>
      </x:c>
      <x:c r="J3" s="40" t="str">
        <x:v>ΔND</x:v>
      </x:c>
    </x:row>
    <x:row r="4">
      <x:c r="A4" s="12" t="str">
        <x:v>I12</x:v>
      </x:c>
      <x:c r="B4" s="12" t="n">
        <x:v>45</x:v>
      </x:c>
      <x:c r="C4" s="12" t="n">
        <x:v>3</x:v>
      </x:c>
      <x:c r="D4" s="12" t="n">
        <x:v>0</x:v>
      </x:c>
      <x:c r="E4" s="12" t="n">
        <x:f>B4+COUNTIFS(Adjudicacion_37!$D$2:$D$38,A4,Adjudicacion_37!$G$2:$G$38,"D")-COUNTIFS(Adjudicacion_37!$D$2:$D$38,A4,Adjudicacion_37!$E$2:$E$38,"D")</x:f>
        <x:v>48</x:v>
      </x:c>
      <x:c r="F4" s="12" t="n">
        <x:f>C4+COUNTIFS(Adjudicacion_37!$D$2:$D$38,A4,Adjudicacion_37!$G$2:$G$38,"P")-COUNTIFS(Adjudicacion_37!$D$2:$D$38,A4,Adjudicacion_37!$E$2:$E$38,"P")</x:f>
        <x:v>0</x:v>
      </x:c>
      <x:c r="G4" s="12" t="n">
        <x:f>D4+COUNTIFS(Adjudicacion_37!$D$2:$D$38,A4,Adjudicacion_37!$G$2:$G$38,"ND")-COUNTIFS(Adjudicacion_37!$D$2:$D$38,A4,Adjudicacion_37!$E$2:$E$38,"ND")</x:f>
        <x:v>0</x:v>
      </x:c>
      <x:c r="H4" s="12" t="n">
        <x:f>E4-B4</x:f>
        <x:v>3</x:v>
      </x:c>
      <x:c r="I4" s="12" t="n">
        <x:f>F4-C4</x:f>
        <x:v>-3</x:v>
      </x:c>
      <x:c r="J4" s="12" t="n">
        <x:f>G4-D4</x:f>
        <x:v>0</x:v>
      </x:c>
    </x:row>
    <x:row r="5">
      <x:c r="A5" s="12" t="str">
        <x:v>I23</x:v>
      </x:c>
      <x:c r="B5" s="12" t="n">
        <x:v>20</x:v>
      </x:c>
      <x:c r="C5" s="12" t="n">
        <x:v>9</x:v>
      </x:c>
      <x:c r="D5" s="12" t="n">
        <x:v>19</x:v>
      </x:c>
      <x:c r="E5" s="12" t="n">
        <x:f>B5+COUNTIFS(Adjudicacion_37!$D$2:$D$38,A5,Adjudicacion_37!$G$2:$G$38,"D")-COUNTIFS(Adjudicacion_37!$D$2:$D$38,A5,Adjudicacion_37!$E$2:$E$38,"D")</x:f>
        <x:v>21</x:v>
      </x:c>
      <x:c r="F5" s="12" t="n">
        <x:f>C5+COUNTIFS(Adjudicacion_37!$D$2:$D$38,A5,Adjudicacion_37!$G$2:$G$38,"P")-COUNTIFS(Adjudicacion_37!$D$2:$D$38,A5,Adjudicacion_37!$E$2:$E$38,"P")</x:f>
        <x:v>7</x:v>
      </x:c>
      <x:c r="G5" s="12" t="n">
        <x:f>D5+COUNTIFS(Adjudicacion_37!$D$2:$D$38,A5,Adjudicacion_37!$G$2:$G$38,"ND")-COUNTIFS(Adjudicacion_37!$D$2:$D$38,A5,Adjudicacion_37!$E$2:$E$38,"ND")</x:f>
        <x:v>20</x:v>
      </x:c>
      <x:c r="H5" s="12" t="n">
        <x:f>E5-B5</x:f>
        <x:v>1</x:v>
      </x:c>
      <x:c r="I5" s="12" t="n">
        <x:f>F5-C5</x:f>
        <x:v>-2</x:v>
      </x:c>
      <x:c r="J5" s="12" t="n">
        <x:f>G5-D5</x:f>
        <x:v>1</x:v>
      </x:c>
    </x:row>
    <x:row r="6">
      <x:c r="A6" s="12" t="str">
        <x:v>I3M</x:v>
      </x:c>
      <x:c r="B6" s="12" t="n">
        <x:v>11</x:v>
      </x:c>
      <x:c r="C6" s="12" t="n">
        <x:v>37</x:v>
      </x:c>
      <x:c r="D6" s="12" t="n">
        <x:v>0</x:v>
      </x:c>
      <x:c r="E6" s="12" t="n">
        <x:f>B6+COUNTIFS(Adjudicacion_37!$D$2:$D$38,A6,Adjudicacion_37!$G$2:$G$38,"D")-COUNTIFS(Adjudicacion_37!$D$2:$D$38,A6,Adjudicacion_37!$E$2:$E$38,"D")</x:f>
        <x:v>14</x:v>
      </x:c>
      <x:c r="F6" s="12" t="n">
        <x:f>C6+COUNTIFS(Adjudicacion_37!$D$2:$D$38,A6,Adjudicacion_37!$G$2:$G$38,"P")-COUNTIFS(Adjudicacion_37!$D$2:$D$38,A6,Adjudicacion_37!$E$2:$E$38,"P")</x:f>
        <x:v>31</x:v>
      </x:c>
      <x:c r="G6" s="12" t="n">
        <x:f>D6+COUNTIFS(Adjudicacion_37!$D$2:$D$38,A6,Adjudicacion_37!$G$2:$G$38,"ND")-COUNTIFS(Adjudicacion_37!$D$2:$D$38,A6,Adjudicacion_37!$E$2:$E$38,"ND")</x:f>
        <x:v>3</x:v>
      </x:c>
      <x:c r="H6" s="12" t="n">
        <x:f>E6-B6</x:f>
        <x:v>3</x:v>
      </x:c>
      <x:c r="I6" s="12" t="n">
        <x:f>F6-C6</x:f>
        <x:v>-6</x:v>
      </x:c>
      <x:c r="J6" s="12" t="n">
        <x:f>G6-D6</x:f>
        <x:v>3</x:v>
      </x:c>
    </x:row>
    <x:row r="7">
      <x:c r="A7" s="12" t="str">
        <x:v>IM1</x:v>
      </x:c>
      <x:c r="B7" s="12" t="n">
        <x:v>2</x:v>
      </x:c>
      <x:c r="C7" s="12" t="n">
        <x:v>8</x:v>
      </x:c>
      <x:c r="D7" s="12" t="n">
        <x:v>38</x:v>
      </x:c>
      <x:c r="E7" s="12" t="n">
        <x:f>B7+COUNTIFS(Adjudicacion_37!$D$2:$D$38,A7,Adjudicacion_37!$G$2:$G$38,"D")-COUNTIFS(Adjudicacion_37!$D$2:$D$38,A7,Adjudicacion_37!$E$2:$E$38,"D")</x:f>
        <x:v>2</x:v>
      </x:c>
      <x:c r="F7" s="12" t="n">
        <x:f>C7+COUNTIFS(Adjudicacion_37!$D$2:$D$38,A7,Adjudicacion_37!$G$2:$G$38,"P")-COUNTIFS(Adjudicacion_37!$D$2:$D$38,A7,Adjudicacion_37!$E$2:$E$38,"P")</x:f>
        <x:v>10</x:v>
      </x:c>
      <x:c r="G7" s="12" t="n">
        <x:f>D7+COUNTIFS(Adjudicacion_37!$D$2:$D$38,A7,Adjudicacion_37!$G$2:$G$38,"ND")-COUNTIFS(Adjudicacion_37!$D$2:$D$38,A7,Adjudicacion_37!$E$2:$E$38,"ND")</x:f>
        <x:v>36</x:v>
      </x:c>
      <x:c r="H7" s="12" t="n">
        <x:f>E7-B7</x:f>
        <x:v>0</x:v>
      </x:c>
      <x:c r="I7" s="12" t="n">
        <x:f>F7-C7</x:f>
        <x:v>2</x:v>
      </x:c>
      <x:c r="J7" s="12" t="n">
        <x:f>G7-D7</x:f>
        <x:v>-2</x:v>
      </x:c>
    </x:row>
    <x:row r="8">
      <x:c r="A8" s="12"/>
      <x:c r="B8" s="12"/>
      <x:c r="C8" s="12"/>
      <x:c r="D8" s="12"/>
      <x:c r="E8" s="12"/>
      <x:c r="F8" s="12"/>
      <x:c r="G8" s="12"/>
      <x:c r="H8" s="12"/>
      <x:c r="I8" s="12"/>
      <x:c r="J8" s="12"/>
    </x:row>
    <x:row r="9">
      <x:c r="A9" s="41" t="str">
        <x:v>TOTAL</x:v>
      </x:c>
      <x:c r="B9" s="41" t="n">
        <x:f>SUM(B4:B7)</x:f>
        <x:v>78</x:v>
      </x:c>
      <x:c r="C9" s="41" t="n">
        <x:f>SUM(C4:C7)</x:f>
        <x:v>57</x:v>
      </x:c>
      <x:c r="D9" s="41" t="n">
        <x:f>SUM(D4:D7)</x:f>
        <x:v>57</x:v>
      </x:c>
      <x:c r="E9" s="41" t="n">
        <x:f>SUM(E4:E7)</x:f>
        <x:v>85</x:v>
      </x:c>
      <x:c r="F9" s="41" t="n">
        <x:f>SUM(F4:F7)</x:f>
        <x:v>48</x:v>
      </x:c>
      <x:c r="G9" s="41" t="n">
        <x:f>SUM(G4:G7)</x:f>
        <x:v>59</x:v>
      </x:c>
      <x:c r="H9" s="41" t="n">
        <x:f>SUM(H4:H7)</x:f>
        <x:v>7</x:v>
      </x:c>
      <x:c r="I9" s="41" t="n">
        <x:f>SUM(I4:I7)</x:f>
        <x:v>-9</x:v>
      </x:c>
      <x:c r="J9" s="41" t="n">
        <x:f>SUM(J4:J7)</x:f>
        <x:v>2</x:v>
      </x:c>
    </x:row>
    <x:row r="10">
      <x:c r="A10" s="12"/>
      <x:c r="B10" s="12"/>
      <x:c r="C10" s="12"/>
      <x:c r="D10" s="12"/>
      <x:c r="E10" s="12"/>
      <x:c r="F10" s="12"/>
      <x:c r="G10" s="12"/>
      <x:c r="H10" s="12"/>
      <x:c r="I10" s="12"/>
      <x:c r="J10" s="12"/>
    </x:row>
    <x:row r="11">
      <x:c r="A11" s="12"/>
      <x:c r="B11" s="12"/>
      <x:c r="C11" s="12"/>
      <x:c r="D11" s="12"/>
      <x:c r="E11" s="12"/>
      <x:c r="F11" s="12"/>
      <x:c r="G11" s="12"/>
      <x:c r="H11" s="12"/>
      <x:c r="I11" s="12"/>
      <x:c r="J11" s="12"/>
    </x:row>
    <x:row r="12">
      <x:c r="A12" s="42" t="str">
        <x:v>Métrica de reproducibilidad PRE-adjudicación</x:v>
      </x:c>
      <x:c r="B12" s="42" t="str">
        <x:v>Valor</x:v>
      </x:c>
      <x:c r="C12" s="42" t="str">
        <x:v>Estado</x:v>
      </x:c>
      <x:c r="D12" s="42" t="str">
        <x:v>Uso correcto</x:v>
      </x:c>
      <x:c r="E12" s="12"/>
      <x:c r="F12" s="42" t="str">
        <x:v>Resultado de adjudicación</x:v>
      </x:c>
      <x:c r="G12" s="42" t="str">
        <x:v>Conteo</x:v>
      </x:c>
      <x:c r="H12" s="12"/>
      <x:c r="I12" s="12"/>
      <x:c r="J12" s="12"/>
    </x:row>
    <x:row r="13">
      <x:c r="A13" s="12" t="str">
        <x:v>Decisiones independientes comparadas</x:v>
      </x:c>
      <x:c r="B13" s="12" t="n">
        <x:v>192</x:v>
      </x:c>
      <x:c r="C13" s="12" t="str">
        <x:v>Fijo</x:v>
      </x:c>
      <x:c r="D13" s="12" t="str">
        <x:v>Base de confiabilidad</x:v>
      </x:c>
      <x:c r="E13" s="12"/>
      <x:c r="F13" s="12" t="str">
        <x:v>Final = evaluador nuevo</x:v>
      </x:c>
      <x:c r="G13" s="12" t="n">
        <x:f>COUNTIF(Adjudicacion_37!$M$2:$M$38,"Adoptar código nuevo")</x:f>
        <x:v>28</x:v>
      </x:c>
      <x:c r="H13" s="12"/>
      <x:c r="I13" s="12"/>
      <x:c r="J13" s="12"/>
    </x:row>
    <x:row r="14">
      <x:c r="A14" s="12" t="str">
        <x:v>Acuerdos exactos</x:v>
      </x:c>
      <x:c r="B14" s="12" t="n">
        <x:v>155</x:v>
      </x:c>
      <x:c r="C14" s="12" t="str">
        <x:v>Fijo</x:v>
      </x:c>
      <x:c r="D14" s="12" t="str">
        <x:v>Base de confiabilidad</x:v>
      </x:c>
      <x:c r="E14" s="12"/>
      <x:c r="F14" s="12" t="str">
        <x:v>Final = código original</x:v>
      </x:c>
      <x:c r="G14" s="12" t="n">
        <x:f>COUNTIF(Adjudicacion_37!$M$2:$M$38,"Conservar código original")</x:f>
        <x:v>8</x:v>
      </x:c>
      <x:c r="H14" s="12"/>
      <x:c r="I14" s="12"/>
      <x:c r="J14" s="12"/>
    </x:row>
    <x:row r="15">
      <x:c r="A15" s="12" t="str">
        <x:v>Acuerdo global</x:v>
      </x:c>
      <x:c r="B15" s="43" t="n">
        <x:v>0.8073</x:v>
      </x:c>
      <x:c r="C15" s="12" t="str">
        <x:v>Fijo</x:v>
      </x:c>
      <x:c r="D15" s="12" t="str">
        <x:v>Reportar como 80.73%</x:v>
      </x:c>
      <x:c r="E15" s="12"/>
      <x:c r="F15" s="12" t="str">
        <x:v>Final distinto de ambos</x:v>
      </x:c>
      <x:c r="G15" s="12" t="n">
        <x:f>COUNTIF(Adjudicacion_37!$M$2:$M$38,"Tercer resultado (ni original ni nuevo)")</x:f>
        <x:v>1</x:v>
      </x:c>
      <x:c r="H15" s="12"/>
      <x:c r="I15" s="12"/>
      <x:c r="J15" s="12"/>
    </x:row>
    <x:row r="16">
      <x:c r="A16" s="12" t="str">
        <x:v>Cohen κ global</x:v>
      </x:c>
      <x:c r="B16" s="12" t="n">
        <x:v>0.705</x:v>
      </x:c>
      <x:c r="C16" s="12" t="str">
        <x:v>Fijo</x:v>
      </x:c>
      <x:c r="D16" s="12" t="str">
        <x:v>Reportar como κ=0.705</x:v>
      </x:c>
      <x:c r="E16" s="12"/>
      <x:c r="F16" s="12" t="str">
        <x:v>Total desacuerdos</x:v>
      </x:c>
      <x:c r="G16" s="12" t="n">
        <x:f>SUM(G13:G15)</x:f>
        <x:v>37</x:v>
      </x:c>
      <x:c r="H16" s="12"/>
      <x:c r="I16" s="12"/>
      <x:c r="J16" s="12"/>
    </x:row>
    <x:row r="17">
      <x:c r="A17" s="12" t="str">
        <x:v>Nota</x:v>
      </x:c>
      <x:c r="B17" s="12"/>
      <x:c r="C17" s="12" t="str">
        <x:v>No recalcular</x:v>
      </x:c>
      <x:c r="D17" s="12" t="str">
        <x:v>El consenso/adjudicación no constituye una segunda medición independiente.</x:v>
      </x:c>
      <x:c r="E17" s="12"/>
      <x:c r="F17" s="12" t="str">
        <x:v>Cierre</x:v>
      </x:c>
      <x:c r="G17" s="12" t="str">
        <x:v>37/37</x:v>
      </x:c>
      <x:c r="H17" s="12"/>
      <x:c r="I17" s="12"/>
      <x:c r="J17" s="12"/>
    </x:row>
  </x:sheetData>
  <x:mergeCells>
    <x:mergeCell ref="A1:J1"/>
  </x:mergeCells>
  <x:pageMargins left="0.7" right="0.7" top="0.75" bottom="0.75" header="0.3" footer="0.3"/>
</x:worksheet>
</file>

<file path=xl/worksheets/sheet3.xml><?xml version="1.0" encoding="utf-8"?>
<x:worksheet xmlns:x="http://schemas.openxmlformats.org/spreadsheetml/2006/main">
  <x:sheetFormatPr defaultRowHeight="15"/>
  <x:cols>
    <x:col min="1" max="1" width="16" hidden="0" customWidth="1"/>
    <x:col min="2" max="2" width="46" hidden="0" customWidth="1"/>
    <x:col min="3" max="3" width="46" hidden="0" customWidth="1"/>
    <x:col min="4" max="4" width="55" hidden="0" customWidth="1"/>
  </x:cols>
  <x:sheetData>
    <x:row r="1">
      <x:c r="A1" s="49" t="str">
        <x:v>Codebook v1.3 FINAL-FROZEN — reglas operativas usadas en adjudicación</x:v>
      </x:c>
    </x:row>
    <x:row r="3">
      <x:c r="A3" s="40" t="str">
        <x:v>Interfaz/Regla</x:v>
      </x:c>
      <x:c r="B3" s="40" t="str">
        <x:v>D</x:v>
      </x:c>
      <x:c r="C3" s="40" t="str">
        <x:v>P</x:v>
      </x:c>
      <x:c r="D3" s="40" t="str">
        <x:v>ND / Exclusión clave</x:v>
      </x:c>
    </x:row>
    <x:row r="4">
      <x:c r="A4" s="12" t="str">
        <x:v>I12</x:v>
      </x:c>
      <x:c r="B4" s="12" t="str">
        <x:v>Condición crítica → requisito/restricción/condición de prueba explícita.</x:v>
      </x:c>
      <x:c r="C4" s="12" t="str">
        <x:v>Condición + implicación significativa, pero requisito derivado amplio o incompleto.</x:v>
      </x:c>
      <x:c r="D4" s="12" t="str">
        <x:v>Contexto meramente descrito; no se traduce en requisito/intervención.</x:v>
      </x:c>
    </x:row>
    <x:row r="5">
      <x:c r="A5" s="12" t="str">
        <x:v>I23</x:v>
      </x:c>
      <x:c r="B5" s="12" t="str">
        <x:v>Requisito/criterio → capacidad configurada específica → evaluación correspondiente → resultado.</x:v>
      </x:c>
      <x:c r="C5" s="12" t="str">
        <x:v>Mínimo: requisito/criterio → capacidad configurada específica en un ejemplo acotado.</x:v>
      </x:c>
      <x:c r="D5" s="12" t="str">
        <x:v>Sin ancla acotada; beneficios genéricos, clases tecnológicas, madurez/TIS/ecosistema o stitching.</x:v>
      </x:c>
    </x:row>
    <x:row r="6">
      <x:c r="A6" s="12" t="str">
        <x:v>I3M</x:v>
      </x:c>
      <x:c r="B6" s="12" t="str">
        <x:v>Dependencia → recurso de soporte → responsable/proveedor → continuidad/recuperación.</x:v>
      </x:c>
      <x:c r="C6" s="12" t="str">
        <x:v>Dependencia y recurso/soporte trazables, pero falta algún elemento para cerrar la cadena D.</x:v>
      </x:c>
      <x:c r="D6" s="12" t="str">
        <x:v>Capacidades/recomendaciones genéricas sin mecanismo operacional acotado.</x:v>
      </x:c>
    </x:row>
    <x:row r="7">
      <x:c r="A7" s="12" t="str">
        <x:v>IM1</x:v>
      </x:c>
      <x:c r="B7" s="12" t="str">
        <x:v>Evento operacional → diagnóstico → cambio implementado → verificación/retest.</x:v>
      </x:c>
      <x:c r="C7" s="12" t="str">
        <x:v>Mínimo: evento operacional + diagnóstico causal explícito en el mismo despliegue.</x:v>
      </x:c>
      <x:c r="D7" s="12" t="str">
        <x:v>Menos de evento→diagnóstico; recomendaciones genéricas; adaptación/control rutinario.</x:v>
      </x:c>
    </x:row>
    <x:row r="8">
      <x:c r="A8" s="12" t="str">
        <x:v>G3</x:v>
      </x:c>
      <x:c r="B8" s="12" t="str">
        <x:v>Misma cadena/mecanismo/despliegue/ejemplo.</x:v>
      </x:c>
      <x:c r="C8" s="12" t="str">
        <x:v>No ensamblar piezas de mecanismos distintos.</x:v>
      </x:c>
      <x:c r="D8" s="12" t="str">
        <x:v>Stitching invalida la promoción.</x:v>
      </x:c>
    </x:row>
    <x:row r="9">
      <x:c r="A9" s="12" t="str">
        <x:v>G4</x:v>
      </x:c>
      <x:c r="B9" s="12" t="str">
        <x:v>Una recomendación puede sustentar evidencia conceptual cuando la interfaz lo permite.</x:v>
      </x:c>
      <x:c r="C9" s="12" t="str">
        <x:v>—</x:v>
      </x:c>
      <x:c r="D9" s="12" t="str">
        <x:v>Recomendación ≠ ocurrencia operacional.</x:v>
      </x:c>
    </x:row>
    <x:row r="10">
      <x:c r="A10" s="12" t="str">
        <x:v>G5</x:v>
      </x:c>
      <x:c r="B10" s="12" t="str">
        <x:v>En reviews, cadena reconstruida dentro de UN ejemplo primario acotado.</x:v>
      </x:c>
      <x:c r="C10" s="12" t="str">
        <x:v>Puede codificarse P si ese ejemplo cumple su umbral.</x:v>
      </x:c>
      <x:c r="D10" s="12" t="str">
        <x:v>No combinar varios estudios/ejemplos.</x:v>
      </x:c>
    </x:row>
    <x:row r="11">
      <x:c r="A11" s="12" t="str">
        <x:v>G8</x:v>
      </x:c>
      <x:c r="B11" s="12" t="str">
        <x:v>—</x:v>
      </x:c>
      <x:c r="C11" s="12" t="str">
        <x:v>Ante duda D/P, usar P sólo si se cumple P.</x:v>
      </x:c>
      <x:c r="D11" s="12" t="str">
        <x:v>Si ni P se cumple, ND.</x:v>
      </x:c>
    </x:row>
    <x:row r="12">
      <x:c r="A12" s="12" t="str">
        <x:v>G10</x:v>
      </x:c>
      <x:c r="B12" s="12" t="str">
        <x:v>—</x:v>
      </x:c>
      <x:c r="C12" s="12" t="str">
        <x:v>—</x:v>
      </x:c>
      <x:c r="D12" s="12" t="str">
        <x:v>Recuperación automática, feedback control, parameter estimation o updates programados ≠ aprendizaje IM1.</x:v>
      </x:c>
    </x:row>
  </x:sheetData>
  <x:mergeCells>
    <x:mergeCell ref="A1:D1"/>
  </x:mergeCells>
  <x:pageMargins left="0.7" right="0.7" top="0.75" bottom="0.75" header="0.3" footer="0.3"/>
</x:worksheet>
</file>