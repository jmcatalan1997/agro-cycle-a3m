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3782152848470d" /></Relationships>
</file>

<file path=xl/workbook.xml><?xml version="1.0" encoding="utf-8"?>
<x:workbook xmlns:x="http://schemas.openxmlformats.org/spreadsheetml/2006/main">
  <x:sheets>
    <x:sheet xmlns:r="http://schemas.openxmlformats.org/officeDocument/2006/relationships" name="README" sheetId="1" r:id="R2238231191c842a5"/>
    <x:sheet xmlns:r="http://schemas.openxmlformats.org/officeDocument/2006/relationships" name="Final_48_v1.3" sheetId="2" r:id="Rdf8e5fba06204a2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dxfs count="13">
    <x:dxf>
      <x:font>
        <x:b/>
      </x:font>
      <x:fill>
        <x:patternFill patternType="solid">
          <x:bgColor rgb="FFD9EAD3"/>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c4c4e2186e4d5c" /><Relationship Type="http://schemas.openxmlformats.org/officeDocument/2006/relationships/theme" Target="/xl/theme/theme1.xml" Id="R46bf8690d2494ee8" /><Relationship Type="http://schemas.openxmlformats.org/officeDocument/2006/relationships/sharedStrings" Target="/xl/sharedStrings.xml" Id="Ra19c644eaf2146fd" /><Relationship Type="http://schemas.openxmlformats.org/officeDocument/2006/relationships/worksheet" Target="/xl/worksheets/sheet1.xml" Id="R2238231191c842a5" /><Relationship Type="http://schemas.openxmlformats.org/officeDocument/2006/relationships/worksheet" Target="/xl/worksheets/sheet2.xml" Id="Rdf8e5fba06204a2f" /></Relationships>
</file>

<file path=xl/tables/table1.xml><?xml version="1.0" encoding="utf-8"?>
<x:table xmlns:x="http://schemas.openxmlformats.org/spreadsheetml/2006/main" id="1" name="Final48Table" displayName="Final48Table" ref="A1:Q49" headerRowCount="1" totalsRowCount="0" totalsRowShown="0">
  <x:tableColumns count="17">
    <x:tableColumn id="1" name="Study_ID"/>
    <x:tableColumn id="2" name="Original_ID"/>
    <x:tableColumn id="3" name="Corpus"/>
    <x:tableColumn id="4" name="Year"/>
    <x:tableColumn id="5" name="Title"/>
    <x:tableColumn id="6" name="DOI"/>
    <x:tableColumn id="7" name="Evidence_basis"/>
    <x:tableColumn id="8" name="Study_confidence"/>
    <x:tableColumn id="9" name="I12_FINAL"/>
    <x:tableColumn id="10" name="I23_FINAL"/>
    <x:tableColumn id="11" name="I3M_FINAL"/>
    <x:tableColumn id="12" name="IM1_FINAL"/>
    <x:tableColumn id="13" name="Adjudicated"/>
    <x:tableColumn id="14" name="Adjudicated_interfaces"/>
    <x:tableColumn id="15" name="Changed_after_adjudication"/>
    <x:tableColumn id="16" name="Source_file"/>
    <x:tableColumn id="17" name="Article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898bc5b3d445b6" /></Relationships>
</file>

<file path=xl/worksheets/sheet1.xml><?xml version="1.0" encoding="utf-8"?>
<x:worksheet xmlns:x="http://schemas.openxmlformats.org/spreadsheetml/2006/main">
  <x:sheetFormatPr defaultRowHeight="15"/>
  <x:cols>
    <x:col min="1" max="1" width="24" hidden="0" customWidth="1"/>
    <x:col min="2" max="2" width="75" hidden="0" customWidth="1"/>
    <x:col min="4" max="4" width="18" hidden="0" customWidth="1"/>
    <x:col min="5" max="5" width="18" hidden="0" customWidth="1"/>
    <x:col min="6" max="6" width="18" hidden="0" customWidth="1"/>
    <x:col min="7" max="7" width="18" hidden="0" customWidth="1"/>
    <x:col min="8" max="8" width="18" hidden="0" customWidth="1"/>
  </x:cols>
  <x:sheetData>
    <x:row r="1">
      <x:c r="A1" s="5" t="str">
        <x:v>A3M v1.3 FINAL POST-ADJUDICATION — 48-study coding matrix</x:v>
      </x:c>
    </x:row>
    <x:row r="3">
      <x:c r="A3" s="14" t="str">
        <x:v>Field</x:v>
      </x:c>
      <x:c r="B3" s="14" t="str">
        <x:v>Description</x:v>
      </x:c>
      <x:c r="D3" s="22" t="str">
        <x:v>Interface</x:v>
      </x:c>
      <x:c r="E3" s="22" t="str">
        <x:v>S1 D/P/ND</x:v>
      </x:c>
      <x:c r="F3" s="22" t="str">
        <x:v>S2 D/P/ND</x:v>
      </x:c>
      <x:c r="G3" s="22" t="str">
        <x:v>Total D/P/ND</x:v>
      </x:c>
      <x:c r="H3" s="22" t="str">
        <x:v>Complete D (n/48)</x:v>
      </x:c>
    </x:row>
    <x:row r="4">
      <x:c r="A4" s="18" t="str">
        <x:v>Purpose</x:v>
      </x:c>
      <x:c r="B4" s="15" t="str">
        <x:v>Repository-ready final coding matrix for the 48-publication Agro-Cycle A3M corpus after adjudication of the 37 pre-adjudication disagreements.</x:v>
      </x:c>
      <x:c r="D4" s="15" t="str">
        <x:v>I12</x:v>
      </x:c>
      <x:c r="E4" s="15" t="str">
        <x:f>COUNTIFS(Final_48_v1.3!$C:$C,"S1",Final_48_v1.3!$I:$I,"D")&amp;"/"&amp;COUNTIFS(Final_48_v1.3!$C:$C,"S1",Final_48_v1.3!$I:$I,"P")&amp;"/"&amp;COUNTIFS(Final_48_v1.3!$C:$C,"S1",Final_48_v1.3!$I:$I,"ND")</x:f>
        <x:v>29/0/0</x:v>
      </x:c>
      <x:c r="F4" s="15" t="str">
        <x:f>COUNTIFS(Final_48_v1.3!$C:$C,"S2",Final_48_v1.3!$I:$I,"D")&amp;"/"&amp;COUNTIFS(Final_48_v1.3!$C:$C,"S2",Final_48_v1.3!$I:$I,"P")&amp;"/"&amp;COUNTIFS(Final_48_v1.3!$C:$C,"S2",Final_48_v1.3!$I:$I,"ND")</x:f>
        <x:v>19/0/0</x:v>
      </x:c>
      <x:c r="G4" s="15" t="str">
        <x:f>COUNTIF(Final_48_v1.3!$I:$I,"D")&amp;"/"&amp;COUNTIF(Final_48_v1.3!$I:$I,"P")&amp;"/"&amp;COUNTIF(Final_48_v1.3!$I:$I,"ND")</x:f>
        <x:v>48/0/0</x:v>
      </x:c>
      <x:c r="H4" s="15" t="str">
        <x:f>COUNTIF(Final_48_v1.3!$I:$I,"D")&amp;"/48"</x:f>
        <x:v>48/48</x:v>
      </x:c>
    </x:row>
    <x:row r="5">
      <x:c r="A5" s="18" t="str">
        <x:v>Primary baseline</x:v>
      </x:c>
      <x:c r="B5" s="15" t="str">
        <x:v>A3M_v1.3_FINAL_INTEGRATED_SYNTHESIS_48studies_2026-08-20.xlsx</x:v>
      </x:c>
      <x:c r="D5" s="15" t="str">
        <x:v>I23</x:v>
      </x:c>
      <x:c r="E5" s="15" t="str">
        <x:f>COUNTIFS(Final_48_v1.3!$C:$C,"S1",Final_48_v1.3!$J:$J,"D")&amp;"/"&amp;COUNTIFS(Final_48_v1.3!$C:$C,"S1",Final_48_v1.3!$J:$J,"P")&amp;"/"&amp;COUNTIFS(Final_48_v1.3!$C:$C,"S1",Final_48_v1.3!$J:$J,"ND")</x:f>
        <x:v>7/5/17</x:v>
      </x:c>
      <x:c r="F5" s="15" t="str">
        <x:f>COUNTIFS(Final_48_v1.3!$C:$C,"S2",Final_48_v1.3!$J:$J,"D")&amp;"/"&amp;COUNTIFS(Final_48_v1.3!$C:$C,"S2",Final_48_v1.3!$J:$J,"P")&amp;"/"&amp;COUNTIFS(Final_48_v1.3!$C:$C,"S2",Final_48_v1.3!$J:$J,"ND")</x:f>
        <x:v>14/2/3</x:v>
      </x:c>
      <x:c r="G5" s="15" t="str">
        <x:f>COUNTIF(Final_48_v1.3!$J:$J,"D")&amp;"/"&amp;COUNTIF(Final_48_v1.3!$J:$J,"P")&amp;"/"&amp;COUNTIF(Final_48_v1.3!$J:$J,"ND")</x:f>
        <x:v>21/7/20</x:v>
      </x:c>
      <x:c r="H5" s="15" t="str">
        <x:f>COUNTIF(Final_48_v1.3!$J:$J,"D")&amp;"/48"</x:f>
        <x:v>21/48</x:v>
      </x:c>
    </x:row>
    <x:row r="6">
      <x:c r="A6" s="18" t="str">
        <x:v>Independent coding</x:v>
      </x:c>
      <x:c r="B6" s="15" t="str">
        <x:v>A3M_Codificacion_independiente_S01-S48_FINAL-CLOSED_v1.3.xlsx</x:v>
      </x:c>
      <x:c r="D6" s="15" t="str">
        <x:v>I3M</x:v>
      </x:c>
      <x:c r="E6" s="15" t="str">
        <x:f>COUNTIFS(Final_48_v1.3!$C:$C,"S1",Final_48_v1.3!$K:$K,"D")&amp;"/"&amp;COUNTIFS(Final_48_v1.3!$C:$C,"S1",Final_48_v1.3!$K:$K,"P")&amp;"/"&amp;COUNTIFS(Final_48_v1.3!$C:$C,"S1",Final_48_v1.3!$K:$K,"ND")</x:f>
        <x:v>8/20/1</x:v>
      </x:c>
      <x:c r="F6" s="15" t="str">
        <x:f>COUNTIFS(Final_48_v1.3!$C:$C,"S2",Final_48_v1.3!$K:$K,"D")&amp;"/"&amp;COUNTIFS(Final_48_v1.3!$C:$C,"S2",Final_48_v1.3!$K:$K,"P")&amp;"/"&amp;COUNTIFS(Final_48_v1.3!$C:$C,"S2",Final_48_v1.3!$K:$K,"ND")</x:f>
        <x:v>6/11/2</x:v>
      </x:c>
      <x:c r="G6" s="15" t="str">
        <x:f>COUNTIF(Final_48_v1.3!$K:$K,"D")&amp;"/"&amp;COUNTIF(Final_48_v1.3!$K:$K,"P")&amp;"/"&amp;COUNTIF(Final_48_v1.3!$K:$K,"ND")</x:f>
        <x:v>14/31/3</x:v>
      </x:c>
      <x:c r="H6" s="15" t="str">
        <x:f>COUNTIF(Final_48_v1.3!$K:$K,"D")&amp;"/48"</x:f>
        <x:v>14/48</x:v>
      </x:c>
    </x:row>
    <x:row r="7">
      <x:c r="A7" s="18" t="str">
        <x:v>Adjudication source</x:v>
      </x:c>
      <x:c r="B7" s="15" t="str">
        <x:v>A3M_v1.3_Adjudicacion_controlada_FINAL_37.xlsx</x:v>
      </x:c>
      <x:c r="D7" s="15" t="str">
        <x:v>IM1</x:v>
      </x:c>
      <x:c r="E7" s="15" t="str">
        <x:f>COUNTIFS(Final_48_v1.3!$C:$C,"S1",Final_48_v1.3!$L:$L,"D")&amp;"/"&amp;COUNTIFS(Final_48_v1.3!$C:$C,"S1",Final_48_v1.3!$L:$L,"P")&amp;"/"&amp;COUNTIFS(Final_48_v1.3!$C:$C,"S1",Final_48_v1.3!$L:$L,"ND")</x:f>
        <x:v>1/4/24</x:v>
      </x:c>
      <x:c r="F7" s="15" t="str">
        <x:f>COUNTIFS(Final_48_v1.3!$C:$C,"S2",Final_48_v1.3!$L:$L,"D")&amp;"/"&amp;COUNTIFS(Final_48_v1.3!$C:$C,"S2",Final_48_v1.3!$L:$L,"P")&amp;"/"&amp;COUNTIFS(Final_48_v1.3!$C:$C,"S2",Final_48_v1.3!$L:$L,"ND")</x:f>
        <x:v>1/6/12</x:v>
      </x:c>
      <x:c r="G7" s="15" t="str">
        <x:f>COUNTIF(Final_48_v1.3!$L:$L,"D")&amp;"/"&amp;COUNTIF(Final_48_v1.3!$L:$L,"P")&amp;"/"&amp;COUNTIF(Final_48_v1.3!$L:$L,"ND")</x:f>
        <x:v>2/10/36</x:v>
      </x:c>
      <x:c r="H7" s="15" t="str">
        <x:f>COUNTIF(Final_48_v1.3!$L:$L,"D")&amp;"/48"</x:f>
        <x:v>2/48</x:v>
      </x:c>
    </x:row>
    <x:row r="8">
      <x:c r="A8" s="18" t="str">
        <x:v>Codebook</x:v>
      </x:c>
      <x:c r="B8" s="15" t="str">
        <x:v>A3M Codebook v1.3 FINAL-FROZEN</x:v>
      </x:c>
      <x:c r="D8" s="15" t="str">
        <x:v>All decisions</x:v>
      </x:c>
      <x:c r="E8" s="15" t="str">
        <x:f>SUM(COUNTIFS(Final_48_v1.3!$C:$C,"S1",Final_48_v1.3!$I:$I,"D"),COUNTIFS(Final_48_v1.3!$C:$C,"S1",Final_48_v1.3!$J:$J,"D"),COUNTIFS(Final_48_v1.3!$C:$C,"S1",Final_48_v1.3!$K:$K,"D"),COUNTIFS(Final_48_v1.3!$C:$C,"S1",Final_48_v1.3!$L:$L,"D"))&amp;"/"&amp;SUM(COUNTIFS(Final_48_v1.3!$C:$C,"S1",Final_48_v1.3!$I:$I,"P"),COUNTIFS(Final_48_v1.3!$C:$C,"S1",Final_48_v1.3!$J:$J,"P"),COUNTIFS(Final_48_v1.3!$C:$C,"S1",Final_48_v1.3!$K:$K,"P"),COUNTIFS(Final_48_v1.3!$C:$C,"S1",Final_48_v1.3!$L:$L,"P"))&amp;"/"&amp;SUM(COUNTIFS(Final_48_v1.3!$C:$C,"S1",Final_48_v1.3!$I:$I,"ND"),COUNTIFS(Final_48_v1.3!$C:$C,"S1",Final_48_v1.3!$J:$J,"ND"),COUNTIFS(Final_48_v1.3!$C:$C,"S1",Final_48_v1.3!$K:$K,"ND"),COUNTIFS(Final_48_v1.3!$C:$C,"S1",Final_48_v1.3!$L:$L,"ND"))</x:f>
        <x:v>45/29/42</x:v>
      </x:c>
      <x:c r="F8" s="15" t="str">
        <x:f>SUM(COUNTIFS(Final_48_v1.3!$C:$C,"S2",Final_48_v1.3!$I:$I,"D"),COUNTIFS(Final_48_v1.3!$C:$C,"S2",Final_48_v1.3!$J:$J,"D"),COUNTIFS(Final_48_v1.3!$C:$C,"S2",Final_48_v1.3!$K:$K,"D"),COUNTIFS(Final_48_v1.3!$C:$C,"S2",Final_48_v1.3!$L:$L,"D"))&amp;"/"&amp;SUM(COUNTIFS(Final_48_v1.3!$C:$C,"S2",Final_48_v1.3!$I:$I,"P"),COUNTIFS(Final_48_v1.3!$C:$C,"S2",Final_48_v1.3!$J:$J,"P"),COUNTIFS(Final_48_v1.3!$C:$C,"S2",Final_48_v1.3!$K:$K,"P"),COUNTIFS(Final_48_v1.3!$C:$C,"S2",Final_48_v1.3!$L:$L,"P"))&amp;"/"&amp;SUM(COUNTIFS(Final_48_v1.3!$C:$C,"S2",Final_48_v1.3!$I:$I,"ND"),COUNTIFS(Final_48_v1.3!$C:$C,"S2",Final_48_v1.3!$J:$J,"ND"),COUNTIFS(Final_48_v1.3!$C:$C,"S2",Final_48_v1.3!$K:$K,"ND"),COUNTIFS(Final_48_v1.3!$C:$C,"S2",Final_48_v1.3!$L:$L,"ND"))</x:f>
        <x:v>40/19/17</x:v>
      </x:c>
      <x:c r="G8" s="15" t="str">
        <x:f>SUM(COUNTIF(Final_48_v1.3!$I:$L,"D"))&amp;"/"&amp;SUM(COUNTIF(Final_48_v1.3!$I:$L,"P"))&amp;"/"&amp;SUM(COUNTIF(Final_48_v1.3!$I:$L,"ND"))</x:f>
        <x:v>85/48/59</x:v>
      </x:c>
      <x:c r="H8" s="15" t="str">
        <x:v>85/192</x:v>
      </x:c>
    </x:row>
    <x:row r="9">
      <x:c r="A9" s="18" t="str">
        <x:v>Construction rule</x:v>
      </x:c>
      <x:c r="B9" s="15" t="str">
        <x:v>Start from the primary v1.3 codes and replace only interfaces explicitly adjudicated in the 37-disagreement file with Código adjudicado FINAL.</x:v>
      </x:c>
    </x:row>
    <x:row r="10">
      <x:c r="A10" s="18" t="str">
        <x:v>Human review</x:v>
      </x:c>
      <x:c r="B10" s="15" t="str">
        <x:v>The source-level adjudications were reviewed and ratified by the first author before this final matrix was assembled.</x:v>
      </x:c>
    </x:row>
    <x:row r="11">
      <x:c r="A11" s="18" t="str">
        <x:v>Reliability note</x:v>
      </x:c>
      <x:c r="B11" s="15" t="str">
        <x:v>Pre-adjudication reliability remains 155/192 exact agreements (80.73%; Cohen's κ = 0.705). κ is not recomputed from post-adjudication codes.</x:v>
      </x:c>
      <x:c r="D11" s="14" t="str">
        <x:v>Code</x:v>
      </x:c>
      <x:c r="E11" s="14" t="str">
        <x:v>Meaning</x:v>
      </x:c>
      <x:c r="F11" s="14"/>
      <x:c r="G11" s="14"/>
      <x:c r="H11" s="14"/>
    </x:row>
    <x:row r="12">
      <x:c r="A12" s="18" t="str">
        <x:v>Generated</x:v>
      </x:c>
      <x:c r="B12" s="15" t="str">
        <x:v>2026-09-21</x:v>
      </x:c>
      <x:c r="D12" s="18" t="str">
        <x:v>D</x:v>
      </x:c>
      <x:c r="E12" s="15" t="str">
        <x:v>Complete traceable documentary chain for the interface under Codebook v1.3 FINAL-FROZEN.</x:v>
      </x:c>
      <x:c r="F12" s="15"/>
      <x:c r="G12" s="15"/>
      <x:c r="H12" s="15"/>
    </x:row>
    <x:row r="13">
      <x:c r="D13" s="18" t="str">
        <x:v>P</x:v>
      </x:c>
      <x:c r="E13" s="15" t="str">
        <x:v>Partial documentation meeting the interface-specific minimum anchor.</x:v>
      </x:c>
      <x:c r="F13" s="15"/>
      <x:c r="G13" s="15"/>
      <x:c r="H13" s="15"/>
    </x:row>
    <x:row r="14">
      <x:c r="D14" s="18" t="str">
        <x:v>ND</x:v>
      </x:c>
      <x:c r="E14" s="15" t="str">
        <x:v>Insufficient/generic documentation or missing minimum anchor.</x:v>
      </x:c>
      <x:c r="F14" s="15"/>
      <x:c r="G14" s="15"/>
      <x:c r="H14" s="15"/>
    </x:row>
    <x:row r="15">
      <x:c r="D15" s="18" t="str">
        <x:v>Important</x:v>
      </x:c>
      <x:c r="E15" s="15" t="str">
        <x:v>D/P/ND describe documentary traceability/completeness; they are not SAT/GAP/UNC/NA deployment diagnostic states.</x:v>
      </x:c>
      <x:c r="F15" s="15"/>
      <x:c r="G15" s="15"/>
      <x:c r="H15" s="15"/>
    </x:row>
  </x:sheetData>
  <x:mergeCells>
    <x:mergeCell ref="A1:F1"/>
    <x:mergeCell ref="E12:H12"/>
    <x:mergeCell ref="E13:H13"/>
    <x:mergeCell ref="E14:H14"/>
    <x:mergeCell ref="E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2" hidden="0" customWidth="1"/>
    <x:col min="3" max="3" width="8" hidden="0" customWidth="1"/>
    <x:col min="4" max="4" width="8" hidden="0" customWidth="1"/>
    <x:col min="5" max="5" width="44" hidden="0" customWidth="1"/>
    <x:col min="6" max="6" width="30" hidden="0" customWidth="1"/>
    <x:col min="7" max="7" width="14" hidden="0" customWidth="1"/>
    <x:col min="8" max="8" width="16" hidden="0" customWidth="1"/>
    <x:col min="9" max="9" width="11" hidden="0" customWidth="1"/>
    <x:col min="10" max="10" width="11" hidden="0" customWidth="1"/>
    <x:col min="11" max="11" width="11" hidden="0" customWidth="1"/>
    <x:col min="12" max="12" width="11" hidden="0" customWidth="1"/>
    <x:col min="13" max="13" width="12" hidden="0" customWidth="1"/>
    <x:col min="14" max="14" width="22" hidden="0" customWidth="1"/>
    <x:col min="15" max="15" width="28" hidden="0" customWidth="1"/>
    <x:col min="16" max="16" width="42" hidden="0" customWidth="1"/>
    <x:col min="17" max="17" width="55" hidden="0" customWidth="1"/>
  </x:cols>
  <x:sheetData>
    <x:row r="1">
      <x:c r="A1" s="27" t="str">
        <x:v>Study_ID</x:v>
      </x:c>
      <x:c r="B1" s="27" t="str">
        <x:v>Original_ID</x:v>
      </x:c>
      <x:c r="C1" s="27" t="str">
        <x:v>Corpus</x:v>
      </x:c>
      <x:c r="D1" s="27" t="str">
        <x:v>Year</x:v>
      </x:c>
      <x:c r="E1" s="27" t="str">
        <x:v>Title</x:v>
      </x:c>
      <x:c r="F1" s="27" t="str">
        <x:v>DOI</x:v>
      </x:c>
      <x:c r="G1" s="27" t="str">
        <x:v>Evidence_basis</x:v>
      </x:c>
      <x:c r="H1" s="27" t="str">
        <x:v>Study_confidence</x:v>
      </x:c>
      <x:c r="I1" s="27" t="str">
        <x:v>I12_FINAL</x:v>
      </x:c>
      <x:c r="J1" s="27" t="str">
        <x:v>I23_FINAL</x:v>
      </x:c>
      <x:c r="K1" s="27" t="str">
        <x:v>I3M_FINAL</x:v>
      </x:c>
      <x:c r="L1" s="27" t="str">
        <x:v>IM1_FINAL</x:v>
      </x:c>
      <x:c r="M1" s="27" t="str">
        <x:v>Adjudicated</x:v>
      </x:c>
      <x:c r="N1" s="27" t="str">
        <x:v>Adjudicated_interfaces</x:v>
      </x:c>
      <x:c r="O1" s="27" t="str">
        <x:v>Changed_after_adjudication</x:v>
      </x:c>
      <x:c r="P1" s="27" t="str">
        <x:v>Source_file</x:v>
      </x:c>
      <x:c r="Q1" s="27" t="str">
        <x:v>Article_notes</x:v>
      </x:c>
    </x:row>
    <x:row r="2">
      <x:c r="A2" s="36" t="str">
        <x:v>S01</x:v>
      </x:c>
      <x:c r="B2" s="36" t="str">
        <x:v>S1-007</x:v>
      </x:c>
      <x:c r="C2" s="36" t="str">
        <x:v>S1</x:v>
      </x:c>
      <x:c r="D2" s="36" t="n">
        <x:v>2025</x:v>
      </x:c>
      <x:c r="E2" s="34" t="str">
        <x:v>An internet of things adoption framework for the South African farming industry</x:v>
      </x:c>
      <x:c r="F2" s="34" t="str">
        <x:v>10.48009/4_iis_2025_129</x:v>
      </x:c>
      <x:c r="G2" s="36" t="str">
        <x:v>C</x:v>
      </x:c>
      <x:c r="H2" s="36" t="str">
        <x:v>High</x:v>
      </x:c>
      <x:c r="I2" s="36" t="str">
        <x:v>D</x:v>
      </x:c>
      <x:c r="J2" s="36" t="str">
        <x:v>ND</x:v>
      </x:c>
      <x:c r="K2" s="36" t="str">
        <x:v>P</x:v>
      </x:c>
      <x:c r="L2" s="36" t="str">
        <x:v>ND</x:v>
      </x:c>
      <x:c r="M2" s="36" t="str">
        <x:v>No</x:v>
      </x:c>
      <x:c r="N2" s="34" t="str"/>
      <x:c r="O2" s="34" t="str">
        <x:v>No change</x:v>
      </x:c>
      <x:c r="P2" s="34" t="str">
        <x:v>S1_SCOPUS_ID007_IoT_Adoption_Framework_South_African_Farming(2).pdf</x:v>
      </x:c>
      <x:c r="Q2" s="34" t="str">
        <x:v>PRISMA-ScR systematic scoping review of 15 studies that develops a South-Africa-specific IoT adoption framework. No original bounded IoT deployment or framework validation is reported.</x:v>
      </x:c>
    </x:row>
    <x:row r="3">
      <x:c r="A3" s="36" t="str">
        <x:v>S02</x:v>
      </x:c>
      <x:c r="B3" s="36" t="str">
        <x:v>S1-009</x:v>
      </x:c>
      <x:c r="C3" s="36" t="str">
        <x:v>S1</x:v>
      </x:c>
      <x:c r="D3" s="36" t="n">
        <x:v>2025</x:v>
      </x:c>
      <x:c r="E3" s="34" t="str">
        <x:v>Examining the factors influencing the digital transformation of new agricultural operating entities: insights from Zhejiang, China</x:v>
      </x:c>
      <x:c r="F3" s="34" t="str">
        <x:v>10.1057/s41599-025-04949-y</x:v>
      </x:c>
      <x:c r="G3" s="36" t="str">
        <x:v>E</x:v>
      </x:c>
      <x:c r="H3" s="36" t="str">
        <x:v>High</x:v>
      </x:c>
      <x:c r="I3" s="36" t="str">
        <x:v>D</x:v>
      </x:c>
      <x:c r="J3" s="36" t="str">
        <x:v>D</x:v>
      </x:c>
      <x:c r="K3" s="36" t="str">
        <x:v>P</x:v>
      </x:c>
      <x:c r="L3" s="36" t="str">
        <x:v>ND</x:v>
      </x:c>
      <x:c r="M3" s="36" t="str">
        <x:v>No</x:v>
      </x:c>
      <x:c r="N3" s="34" t="str"/>
      <x:c r="O3" s="34" t="str">
        <x:v>No change</x:v>
      </x:c>
      <x:c r="P3" s="34" t="str">
        <x:v>S1_SCOPUS_ID009_Digital_Transformation_NAOEs_Zhejiang(2).pdf</x:v>
      </x:c>
      <x:c r="Q3" s="34" t="str">
        <x:v>Empirical multi-case study of 40 NAOEs using interviews, questionnaires, direct observation, secondary data and fsQCA. Contains bounded farm-level technology examples inside a broader organizational digital-transformation analysis.</x:v>
      </x:c>
    </x:row>
    <x:row r="4">
      <x:c r="A4" s="36" t="str">
        <x:v>S03</x:v>
      </x:c>
      <x:c r="B4" s="36" t="str">
        <x:v>S1-012</x:v>
      </x:c>
      <x:c r="C4" s="36" t="str">
        <x:v>S1</x:v>
      </x:c>
      <x:c r="D4" s="36" t="n">
        <x:v>2026</x:v>
      </x:c>
      <x:c r="E4" s="34" t="str">
        <x:v>What drives the digital transformation of farmers’ cooperatives? An empirical analysis based on the TOE framework</x:v>
      </x:c>
      <x:c r="F4" s="34" t="str">
        <x:v>10.1186/s40100-026-00453-2</x:v>
      </x:c>
      <x:c r="G4" s="36" t="str">
        <x:v>M</x:v>
      </x:c>
      <x:c r="H4" s="36" t="str">
        <x:v>High</x:v>
      </x:c>
      <x:c r="I4" s="36" t="str">
        <x:v>D</x:v>
      </x:c>
      <x:c r="J4" s="36" t="str">
        <x:v>ND</x:v>
      </x:c>
      <x:c r="K4" s="36" t="str">
        <x:v>P</x:v>
      </x:c>
      <x:c r="L4" s="36" t="str">
        <x:v>ND</x:v>
      </x:c>
      <x:c r="M4" s="36" t="str">
        <x:v>No</x:v>
      </x:c>
      <x:c r="N4" s="34" t="str"/>
      <x:c r="O4" s="34" t="str">
        <x:v>No change</x:v>
      </x:c>
      <x:c r="P4" s="34" t="str">
        <x:v>S1_SCOPUS_ID012_TOE_Digital_Transformation_Farmers_Cooperatives(2).pdf</x:v>
      </x:c>
      <x:c r="Q4" s="34" t="str">
        <x:v>Mixed empirical/modeling study: TOE-based system dynamics informed by literature, field investigation in Zhejiang, 93 valid questionnaires, 37 chairperson interviews and expert elicitation. The principal evaluated object is organizational digital-transformation dynamics.</x:v>
      </x:c>
    </x:row>
    <x:row r="5">
      <x:c r="A5" s="36" t="str">
        <x:v>S04</x:v>
      </x:c>
      <x:c r="B5" s="36" t="str">
        <x:v>S1-014</x:v>
      </x:c>
      <x:c r="C5" s="36" t="str">
        <x:v>S1</x:v>
      </x:c>
      <x:c r="D5" s="36" t="n">
        <x:v>2022</x:v>
      </x:c>
      <x:c r="E5" s="34" t="str">
        <x:v>Knowledge Transfer on Digital Transformation: An Analysis of the Olive Landscape in Andalusia, Spain</x:v>
      </x:c>
      <x:c r="F5" s="34" t="str">
        <x:v>10.3390/land11010063</x:v>
      </x:c>
      <x:c r="G5" s="36" t="str">
        <x:v>E</x:v>
      </x:c>
      <x:c r="H5" s="36" t="str">
        <x:v>High</x:v>
      </x:c>
      <x:c r="I5" s="36" t="str">
        <x:v>D</x:v>
      </x:c>
      <x:c r="J5" s="36" t="str">
        <x:v>ND</x:v>
      </x:c>
      <x:c r="K5" s="36" t="str">
        <x:v>P</x:v>
      </x:c>
      <x:c r="L5" s="36" t="str">
        <x:v>ND</x:v>
      </x:c>
      <x:c r="M5" s="36" t="str">
        <x:v>Yes</x:v>
      </x:c>
      <x:c r="N5" s="34" t="str">
        <x:v>I12</x:v>
      </x:c>
      <x:c r="O5" s="34" t="str">
        <x:v>I12:P→D</x:v>
      </x:c>
      <x:c r="P5" s="34" t="str">
        <x:v>S1_SCOPUS_ID014_Knowledge_Transfer_Olive_Andalusia(2).pdf</x:v>
      </x:c>
      <x:c r="Q5" s="34" t="str">
        <x:v>Empirical TIS/knowledge-transfer study in the Andalusian olive landscape. Uses interviews with 14 DT experts/knowledge-generating actors, SNA across 21 actor types, and AHP to evaluate KT sub-functions and overall performance.</x:v>
      </x:c>
    </x:row>
    <x:row r="6">
      <x:c r="A6" s="36" t="str">
        <x:v>S05</x:v>
      </x:c>
      <x:c r="B6" s="36" t="str">
        <x:v>S1-015</x:v>
      </x:c>
      <x:c r="C6" s="36" t="str">
        <x:v>S1</x:v>
      </x:c>
      <x:c r="D6" s="36" t="n">
        <x:v>2025</x:v>
      </x:c>
      <x:c r="E6" s="34" t="str">
        <x:v>Digital Transformation in Grain Engineering and Post-Harvest Activities: A Case Study and Maturity Model Proposition</x:v>
      </x:c>
      <x:c r="F6" s="34" t="str">
        <x:v>10.3390/agriengineering7110391</x:v>
      </x:c>
      <x:c r="G6" s="36" t="str">
        <x:v>M</x:v>
      </x:c>
      <x:c r="H6" s="36" t="str">
        <x:v>High</x:v>
      </x:c>
      <x:c r="I6" s="36" t="str">
        <x:v>D</x:v>
      </x:c>
      <x:c r="J6" s="36" t="str">
        <x:v>D</x:v>
      </x:c>
      <x:c r="K6" s="36" t="str">
        <x:v>D</x:v>
      </x:c>
      <x:c r="L6" s="36" t="str">
        <x:v>P</x:v>
      </x:c>
      <x:c r="M6" s="36" t="str">
        <x:v>Yes</x:v>
      </x:c>
      <x:c r="N6" s="34" t="str">
        <x:v>I3M</x:v>
      </x:c>
      <x:c r="O6" s="34" t="str">
        <x:v>I3M:P→D</x:v>
      </x:c>
      <x:c r="P6" s="34" t="str">
        <x:v>S1_SCOPUS_ID015_Digital_Transformation_Grain_Post_Harvest(1).pdf</x:v>
      </x:c>
      <x:c r="Q6" s="34" t="str">
        <x:v>Mixed longitudinal case study of a Brazilian post-harvest engineering company plus benchmarking/recommendations from BIBA. Combines observations, interviews, documents and client-facility evidence with quantitative operational results and a proposed maturity model.</x:v>
      </x:c>
    </x:row>
    <x:row r="7">
      <x:c r="A7" s="36" t="str">
        <x:v>S06</x:v>
      </x:c>
      <x:c r="B7" s="36" t="str">
        <x:v>S1-019</x:v>
      </x:c>
      <x:c r="C7" s="36" t="str">
        <x:v>S1</x:v>
      </x:c>
      <x:c r="D7" s="36" t="n">
        <x:v>2023</x:v>
      </x:c>
      <x:c r="E7" s="34" t="str">
        <x:v>Digital transformation of agriculture: A new integrated modeling framework for arable farm enterprises</x:v>
      </x:c>
      <x:c r="F7" s="34" t="str">
        <x:v>10.1016/j.compag.2023.108041</x:v>
      </x:c>
      <x:c r="G7" s="36" t="str">
        <x:v>M</x:v>
      </x:c>
      <x:c r="H7" s="36" t="str">
        <x:v>High</x:v>
      </x:c>
      <x:c r="I7" s="36" t="str">
        <x:v>D</x:v>
      </x:c>
      <x:c r="J7" s="36" t="str">
        <x:v>D</x:v>
      </x:c>
      <x:c r="K7" s="36" t="str">
        <x:v>P</x:v>
      </x:c>
      <x:c r="L7" s="36" t="str">
        <x:v>D</x:v>
      </x:c>
      <x:c r="M7" s="36" t="str">
        <x:v>Yes</x:v>
      </x:c>
      <x:c r="N7" s="34" t="str">
        <x:v>IM1</x:v>
      </x:c>
      <x:c r="O7" s="34" t="str">
        <x:v>IM1:ND→D</x:v>
      </x:c>
      <x:c r="P7" s="34" t="str">
        <x:v>S1_SCOPUS_ID019_Integrated_Modeling_Arable_Farm_Enterprises(1).pdf</x:v>
      </x:c>
      <x:c r="Q7" s="34" t="str">
        <x:v>Design-oriented IEMFAFE framework validated through three real arable-farm EI cases. The cases include completed EI implementation, stakeholder questionnaires/interviews and comparative design/development metrics.</x:v>
      </x:c>
    </x:row>
    <x:row r="8">
      <x:c r="A8" s="36" t="str">
        <x:v>S07</x:v>
      </x:c>
      <x:c r="B8" s="36" t="str">
        <x:v>S1-022</x:v>
      </x:c>
      <x:c r="C8" s="36" t="str">
        <x:v>S1</x:v>
      </x:c>
      <x:c r="D8" s="36" t="n">
        <x:v>2022</x:v>
      </x:c>
      <x:c r="E8" s="34" t="str">
        <x:v>Theories and Models of Technology Adoption in Agricultural Sector</x:v>
      </x:c>
      <x:c r="F8" s="34" t="str">
        <x:v>10.1155/2022/9258317</x:v>
      </x:c>
      <x:c r="G8" s="36" t="str">
        <x:v>C</x:v>
      </x:c>
      <x:c r="H8" s="36" t="str">
        <x:v>High</x:v>
      </x:c>
      <x:c r="I8" s="36" t="str">
        <x:v>D</x:v>
      </x:c>
      <x:c r="J8" s="36" t="str">
        <x:v>ND</x:v>
      </x:c>
      <x:c r="K8" s="36" t="str">
        <x:v>P</x:v>
      </x:c>
      <x:c r="L8" s="36" t="str">
        <x:v>ND</x:v>
      </x:c>
      <x:c r="M8" s="36" t="str">
        <x:v>No</x:v>
      </x:c>
      <x:c r="N8" s="34" t="str"/>
      <x:c r="O8" s="34" t="str">
        <x:v>No change</x:v>
      </x:c>
      <x:c r="P8" s="34" t="str">
        <x:v>S1_SCOPUS_ID022_Technology_Adoption_Theories_Agriculture(1).pdf</x:v>
      </x:c>
      <x:c r="Q8" s="34" t="str">
        <x:v>Conceptual review compiling approximately 50 years of agricultural technology-adoption theories/models. It synthesizes adoption conditions, task-technology fit, facilitating resources, continued/discontinued use and proposes a collective adoption model; no bounded technology deployment is evaluated.</x:v>
      </x:c>
    </x:row>
    <x:row r="9">
      <x:c r="A9" s="36" t="str">
        <x:v>S08</x:v>
      </x:c>
      <x:c r="B9" s="36" t="str">
        <x:v>S1-025</x:v>
      </x:c>
      <x:c r="C9" s="36" t="str">
        <x:v>S1</x:v>
      </x:c>
      <x:c r="D9" s="36" t="n">
        <x:v>2023</x:v>
      </x:c>
      <x:c r="E9" s="34" t="str">
        <x:v>Practice insights for the responsible adoption of smart farming technologies using a participatory technology assessment approach: The case of virtual herding technology in Australia</x:v>
      </x:c>
      <x:c r="F9" s="34" t="str">
        <x:v>10.1016/j.agsy.2022.103592</x:v>
      </x:c>
      <x:c r="G9" s="36" t="str">
        <x:v>E</x:v>
      </x:c>
      <x:c r="H9" s="36" t="str">
        <x:v>High</x:v>
      </x:c>
      <x:c r="I9" s="36" t="str">
        <x:v>D</x:v>
      </x:c>
      <x:c r="J9" s="36" t="str">
        <x:v>P</x:v>
      </x:c>
      <x:c r="K9" s="36" t="str">
        <x:v>D</x:v>
      </x:c>
      <x:c r="L9" s="36" t="str">
        <x:v>ND</x:v>
      </x:c>
      <x:c r="M9" s="36" t="str">
        <x:v>Yes</x:v>
      </x:c>
      <x:c r="N9" s="34" t="str">
        <x:v>I3M</x:v>
      </x:c>
      <x:c r="O9" s="34" t="str">
        <x:v>I3M:P→D</x:v>
      </x:c>
      <x:c r="P9" s="34" t="str">
        <x:v>S1_SCOPUS_ID025_Responsible_Adoption_Virtual_Herding(2).pdf</x:v>
      </x:c>
      <x:c r="Q9" s="34" t="str">
        <x:v>Empirical participatory technology-assessment study of a specific pre-commercial virtual-herding product. Eighty stakeholders/end-users assessed applications, benefits, risks and support needs; a 13-member consultative panel subsequently informed a cross-industry adoption strategy.</x:v>
      </x:c>
    </x:row>
    <x:row r="10">
      <x:c r="A10" s="36" t="str">
        <x:v>S09</x:v>
      </x:c>
      <x:c r="B10" s="36" t="str">
        <x:v>S1-042</x:v>
      </x:c>
      <x:c r="C10" s="36" t="str">
        <x:v>S1</x:v>
      </x:c>
      <x:c r="D10" s="36" t="n">
        <x:v>2021</x:v>
      </x:c>
      <x:c r="E10" s="34" t="str">
        <x:v>Balanced readiness level assessment (BRLa): A tool for exploring new and emerging technologies.</x:v>
      </x:c>
      <x:c r="F10" s="34" t="str">
        <x:v>10.1016/j.techfore.2021.120854</x:v>
      </x:c>
      <x:c r="G10" s="36" t="str">
        <x:v>M</x:v>
      </x:c>
      <x:c r="H10" s="36" t="str">
        <x:v>High</x:v>
      </x:c>
      <x:c r="I10" s="36" t="str">
        <x:v>D</x:v>
      </x:c>
      <x:c r="J10" s="36" t="str">
        <x:v>P</x:v>
      </x:c>
      <x:c r="K10" s="36" t="str">
        <x:v>D</x:v>
      </x:c>
      <x:c r="L10" s="36" t="str">
        <x:v>ND</x:v>
      </x:c>
      <x:c r="M10" s="36" t="str">
        <x:v>Yes</x:v>
      </x:c>
      <x:c r="N10" s="34" t="str">
        <x:v>I3M</x:v>
      </x:c>
      <x:c r="O10" s="34" t="str">
        <x:v>I3M:P→D</x:v>
      </x:c>
      <x:c r="P10" s="34" t="str">
        <x:v>S1_SCOPUS_ID042_Balanced_Readiness_Level_Assessment(2).pdf</x:v>
      </x:c>
      <x:c r="Q10" s="34" t="str">
        <x:v>Mixed conceptual/empirical paper developing the five-dimensional BRLa methodology and applying it to 36 agricultural technologies plus an in-depth historical Nofence case based on interviews, observations and secondary material.</x:v>
      </x:c>
    </x:row>
    <x:row r="11">
      <x:c r="A11" s="36" t="str">
        <x:v>S10</x:v>
      </x:c>
      <x:c r="B11" s="36" t="str">
        <x:v>S1-046</x:v>
      </x:c>
      <x:c r="C11" s="36" t="str">
        <x:v>S1</x:v>
      </x:c>
      <x:c r="D11" s="36" t="n">
        <x:v>2023</x:v>
      </x:c>
      <x:c r="E11" s="34" t="str">
        <x:v>A concept for application of integrated digital technologies to enhance future smart agricultural systems</x:v>
      </x:c>
      <x:c r="F11" s="34" t="str">
        <x:v>10.1016/j.atech.2023.100255</x:v>
      </x:c>
      <x:c r="G11" s="36" t="str">
        <x:v>C</x:v>
      </x:c>
      <x:c r="H11" s="36" t="str">
        <x:v>High</x:v>
      </x:c>
      <x:c r="I11" s="36" t="str">
        <x:v>D</x:v>
      </x:c>
      <x:c r="J11" s="36" t="str">
        <x:v>ND</x:v>
      </x:c>
      <x:c r="K11" s="36" t="str">
        <x:v>P</x:v>
      </x:c>
      <x:c r="L11" s="36" t="str">
        <x:v>ND</x:v>
      </x:c>
      <x:c r="M11" s="36" t="str">
        <x:v>Yes</x:v>
      </x:c>
      <x:c r="N11" s="34" t="str">
        <x:v>I23</x:v>
      </x:c>
      <x:c r="O11" s="34" t="str">
        <x:v>No change</x:v>
      </x:c>
      <x:c r="P11" s="34" t="str">
        <x:v>S1_SCOPUS_ID046_Integrated_Digital_Technologies_Smart_Agriculture(2).pdf</x:v>
      </x:c>
      <x:c r="Q11" s="34" t="str">
        <x:v>Conceptual literature-review and architecture-development paper. It proposes an integrated smart-farming concept combining sensors, IoT, AI/data fusion, edge/cloud computing, Blockchain, DSS, governance and data security. Practical development, testing and demonstration are explicitly future work.</x:v>
      </x:c>
    </x:row>
    <x:row r="12">
      <x:c r="A12" s="36" t="str">
        <x:v>S11</x:v>
      </x:c>
      <x:c r="B12" s="36" t="str">
        <x:v>S1-049</x:v>
      </x:c>
      <x:c r="C12" s="36" t="str">
        <x:v>S1</x:v>
      </x:c>
      <x:c r="D12" s="36" t="n">
        <x:v>2026</x:v>
      </x:c>
      <x:c r="E12" s="34" t="str">
        <x:v>Sustainable digitalisation - a system thinking approach for determining costs and benefits in the agri-sector</x:v>
      </x:c>
      <x:c r="F12" s="34" t="str">
        <x:v>10.1016/j.agsy.2025.104529</x:v>
      </x:c>
      <x:c r="G12" s="36" t="str">
        <x:v>C</x:v>
      </x:c>
      <x:c r="H12" s="36" t="str">
        <x:v>Medium</x:v>
      </x:c>
      <x:c r="I12" s="36" t="str">
        <x:v>D</x:v>
      </x:c>
      <x:c r="J12" s="36" t="str">
        <x:v>ND</x:v>
      </x:c>
      <x:c r="K12" s="36" t="str">
        <x:v>P</x:v>
      </x:c>
      <x:c r="L12" s="36" t="str">
        <x:v>ND</x:v>
      </x:c>
      <x:c r="M12" s="36" t="str">
        <x:v>Yes</x:v>
      </x:c>
      <x:c r="N12" s="34" t="str">
        <x:v>I12</x:v>
      </x:c>
      <x:c r="O12" s="34" t="str">
        <x:v>I12:P→D</x:v>
      </x:c>
      <x:c r="P12" s="34" t="str">
        <x:v>S1_SCOPUS_ID049_Sustainable_Digitalisation_System_Thinking(2).pdf</x:v>
      </x:c>
      <x:c r="Q12" s="34" t="str">
        <x:v>Conceptual short communication based on a CODECS scoping review and interdisciplinary project interactions. It proposes a multilevel systems framework for assessing digitalisation costs and benefits across farm processes, digital ecosystems and socio-environmental contexts; no bounded deployment is longitudinally validated.</x:v>
      </x:c>
    </x:row>
    <x:row r="13">
      <x:c r="A13" s="36" t="str">
        <x:v>S12</x:v>
      </x:c>
      <x:c r="B13" s="36" t="str">
        <x:v>S1-050</x:v>
      </x:c>
      <x:c r="C13" s="36" t="str">
        <x:v>S1</x:v>
      </x:c>
      <x:c r="D13" s="36" t="n">
        <x:v>2026</x:v>
      </x:c>
      <x:c r="E13" s="34" t="str">
        <x:v>Development of an integrated smart farm system for open-field soybean cultivation in a former paddy fields</x:v>
      </x:c>
      <x:c r="F13" s="34" t="str">
        <x:v>10.3389/fsufs.2026.1702551</x:v>
      </x:c>
      <x:c r="G13" s="36" t="str">
        <x:v>E</x:v>
      </x:c>
      <x:c r="H13" s="36" t="str">
        <x:v>High</x:v>
      </x:c>
      <x:c r="I13" s="36" t="str">
        <x:v>D</x:v>
      </x:c>
      <x:c r="J13" s="36" t="str">
        <x:v>D</x:v>
      </x:c>
      <x:c r="K13" s="36" t="str">
        <x:v>P</x:v>
      </x:c>
      <x:c r="L13" s="36" t="str">
        <x:v>P</x:v>
      </x:c>
      <x:c r="M13" s="36" t="str">
        <x:v>Yes</x:v>
      </x:c>
      <x:c r="N13" s="34" t="str">
        <x:v>IM1</x:v>
      </x:c>
      <x:c r="O13" s="34" t="str">
        <x:v>IM1:ND→P</x:v>
      </x:c>
      <x:c r="P13" s="34" t="str">
        <x:v>S1_SCOPUS_ID050_Integrated_Smart_Farm_Open_Field_Soybean(2).pdf</x:v>
      </x:c>
      <x:c r="Q13" s="34" t="str">
        <x:v>Empirical three-year open-field deployment (2022–2024) in soybean grown on former paddy fields. The integrated system combines autonomous machinery, irrigation/drainage/fertigation, smart traps, UAV monitoring/spraying and an IMCS, with smart-vs-conventional comparison of yield and labor.</x:v>
      </x:c>
    </x:row>
    <x:row r="14">
      <x:c r="A14" s="36" t="str">
        <x:v>S13</x:v>
      </x:c>
      <x:c r="B14" s="36" t="str">
        <x:v>S1-051</x:v>
      </x:c>
      <x:c r="C14" s="36" t="str">
        <x:v>S1</x:v>
      </x:c>
      <x:c r="D14" s="36" t="n">
        <x:v>2026</x:v>
      </x:c>
      <x:c r="E14" s="34" t="str">
        <x:v>Factors influencing agricultural digital transformation: A systematic review of environmental, technological, and individual dimensions</x:v>
      </x:c>
      <x:c r="F14" s="34" t="str">
        <x:v>10.1016/j.compag.2026.111430</x:v>
      </x:c>
      <x:c r="G14" s="36" t="str">
        <x:v>C</x:v>
      </x:c>
      <x:c r="H14" s="36" t="str">
        <x:v>High</x:v>
      </x:c>
      <x:c r="I14" s="36" t="str">
        <x:v>D</x:v>
      </x:c>
      <x:c r="J14" s="36" t="str">
        <x:v>ND</x:v>
      </x:c>
      <x:c r="K14" s="36" t="str">
        <x:v>P</x:v>
      </x:c>
      <x:c r="L14" s="36" t="str">
        <x:v>ND</x:v>
      </x:c>
      <x:c r="M14" s="36" t="str">
        <x:v>No</x:v>
      </x:c>
      <x:c r="N14" s="34" t="str"/>
      <x:c r="O14" s="34" t="str">
        <x:v>No change</x:v>
      </x:c>
      <x:c r="P14" s="34" t="str">
        <x:v>S1_SCOPUS_ID051_Factors_Agricultural_Digital_Transformation_Review(2).pdf</x:v>
      </x:c>
      <x:c r="Q14" s="34" t="str">
        <x:v>Systematic literature review and bibliometric synthesis of 620 publications (2010–2024). It develops an external-environment / technology-ecology / individual-behavior framework and derives differentiated policy, enterprise and farmer implications; it does not contribute a new bounded agricultural technology deployment.</x:v>
      </x:c>
    </x:row>
    <x:row r="15">
      <x:c r="A15" s="36" t="str">
        <x:v>S14</x:v>
      </x:c>
      <x:c r="B15" s="36" t="str">
        <x:v>S1-052</x:v>
      </x:c>
      <x:c r="C15" s="36" t="str">
        <x:v>S1</x:v>
      </x:c>
      <x:c r="D15" s="36" t="n">
        <x:v>2026</x:v>
      </x:c>
      <x:c r="E15" s="34" t="str">
        <x:v>Communication as the primary driver of IoT-based smart farming adoption: the mediating role of innovation perception and the supporting function of institutional mechanism</x:v>
      </x:c>
      <x:c r="F15" s="34" t="str">
        <x:v>10.3389/fcomm.2026.1752567</x:v>
      </x:c>
      <x:c r="G15" s="36" t="str">
        <x:v>E</x:v>
      </x:c>
      <x:c r="H15" s="36" t="str">
        <x:v>High</x:v>
      </x:c>
      <x:c r="I15" s="36" t="str">
        <x:v>D</x:v>
      </x:c>
      <x:c r="J15" s="36" t="str">
        <x:v>ND</x:v>
      </x:c>
      <x:c r="K15" s="36" t="str">
        <x:v>P</x:v>
      </x:c>
      <x:c r="L15" s="36" t="str">
        <x:v>ND</x:v>
      </x:c>
      <x:c r="M15" s="36" t="str">
        <x:v>Yes</x:v>
      </x:c>
      <x:c r="N15" s="34" t="str">
        <x:v>I3M</x:v>
      </x:c>
      <x:c r="O15" s="34" t="str">
        <x:v>No change</x:v>
      </x:c>
      <x:c r="P15" s="34" t="str">
        <x:v>S1_SCOPUS_ID052_Communication_IoT_Smart_Farming_Adoption(1).pdf</x:v>
      </x:c>
      <x:c r="Q15" s="34" t="str">
        <x:v>Cross-sectional empirical adoption study in West Java using 200 farmers across 100 Digital Villages, PLS-SEM and contextual interviews. It evaluates communication, institutional support, innovation perception and adoption duration/features rather than the technical performance of one configured IoT application.</x:v>
      </x:c>
    </x:row>
    <x:row r="16">
      <x:c r="A16" s="36" t="str">
        <x:v>S15</x:v>
      </x:c>
      <x:c r="B16" s="36" t="str">
        <x:v>S1-053</x:v>
      </x:c>
      <x:c r="C16" s="36" t="str">
        <x:v>S1</x:v>
      </x:c>
      <x:c r="D16" s="36" t="n">
        <x:v>2022</x:v>
      </x:c>
      <x:c r="E16" s="34" t="str">
        <x:v>An integrated socio-cyber-physical system framework to assess responsible digitalisation in agriculture: A first application with Living Labs in Europe</x:v>
      </x:c>
      <x:c r="F16" s="34" t="str">
        <x:v>10.1016/j.agsy.2022.103533</x:v>
      </x:c>
      <x:c r="G16" s="36" t="str">
        <x:v>M</x:v>
      </x:c>
      <x:c r="H16" s="36" t="str">
        <x:v>High</x:v>
      </x:c>
      <x:c r="I16" s="36" t="str">
        <x:v>D</x:v>
      </x:c>
      <x:c r="J16" s="36" t="str">
        <x:v>ND</x:v>
      </x:c>
      <x:c r="K16" s="36" t="str">
        <x:v>P</x:v>
      </x:c>
      <x:c r="L16" s="36" t="str">
        <x:v>ND</x:v>
      </x:c>
      <x:c r="M16" s="36" t="str">
        <x:v>Yes</x:v>
      </x:c>
      <x:c r="N16" s="34" t="str">
        <x:v>I23</x:v>
      </x:c>
      <x:c r="O16" s="34" t="str">
        <x:v>I23:P→ND</x:v>
      </x:c>
      <x:c r="P16" s="34" t="str">
        <x:v>S1_SCOPUS_ID053_Socio_Cyber_Physical_Responsible_Digitalisation(2).pdf</x:v>
      </x:c>
      <x:c r="Q16" s="34" t="str">
        <x:v>Mixed conceptual/empirical SCPS assessment framework applied across 21 European Living Labs using interviews, focus groups, surveys and secondary data. The paper contains bounded Living-Lab subexamples, including the Best4Soil DSS/database example used in the settled v1.3 I23 boundary adjudication.</x:v>
      </x:c>
    </x:row>
    <x:row r="17">
      <x:c r="A17" s="36" t="str">
        <x:v>S16</x:v>
      </x:c>
      <x:c r="B17" s="36" t="str">
        <x:v>S1-056</x:v>
      </x:c>
      <x:c r="C17" s="36" t="str">
        <x:v>S1</x:v>
      </x:c>
      <x:c r="D17" s="36" t="n">
        <x:v>2026</x:v>
      </x:c>
      <x:c r="E17" s="34" t="str">
        <x:v>A Framework to Measure Maturity of Industrial IoT Technology for Agricultural Regulatory Compliance Activities and Decentralization</x:v>
      </x:c>
      <x:c r="F17" s="34" t="str">
        <x:v>10.3390/fi18030142</x:v>
      </x:c>
      <x:c r="G17" s="36" t="str">
        <x:v>C</x:v>
      </x:c>
      <x:c r="H17" s="36" t="str">
        <x:v>High</x:v>
      </x:c>
      <x:c r="I17" s="36" t="str">
        <x:v>D</x:v>
      </x:c>
      <x:c r="J17" s="36" t="str">
        <x:v>P</x:v>
      </x:c>
      <x:c r="K17" s="36" t="str">
        <x:v>D</x:v>
      </x:c>
      <x:c r="L17" s="36" t="str">
        <x:v>ND</x:v>
      </x:c>
      <x:c r="M17" s="36" t="str">
        <x:v>Yes</x:v>
      </x:c>
      <x:c r="N17" s="34" t="str">
        <x:v>I23</x:v>
      </x:c>
      <x:c r="O17" s="34" t="str">
        <x:v>I23:ND→P</x:v>
      </x:c>
      <x:c r="P17" s="34" t="str">
        <x:v>S1_SCOPUS_ID056_IIoT_Maturity_Agricultural_Regulatory_Compliance(2).pdf</x:v>
      </x:c>
      <x:c r="Q17" s="34" t="str">
        <x:v>Conceptual/review paper based on 121 research articles, reports, guidelines and policy documents. It develops TRAFC, a six-attribute RegTech readiness framework, applies it analytically to agricultural technology/use-case classes, and proposes a future decentralized compliance architecture with shared responsibility and redundancy.</x:v>
      </x:c>
    </x:row>
    <x:row r="18">
      <x:c r="A18" s="36" t="str">
        <x:v>S17</x:v>
      </x:c>
      <x:c r="B18" s="36" t="str">
        <x:v>S1-057</x:v>
      </x:c>
      <x:c r="C18" s="36" t="str">
        <x:v>S1</x:v>
      </x:c>
      <x:c r="D18" s="36" t="n">
        <x:v>2026</x:v>
      </x:c>
      <x:c r="E18" s="34" t="str">
        <x:v>The Validation–Deployment Gap in Agricultural Information Systems: A Systematic Technology Readiness Assessment</x:v>
      </x:c>
      <x:c r="F18" s="34" t="str">
        <x:v>10.3390/informatics13010014</x:v>
      </x:c>
      <x:c r="G18" s="36" t="str">
        <x:v>M</x:v>
      </x:c>
      <x:c r="H18" s="36" t="str">
        <x:v>High</x:v>
      </x:c>
      <x:c r="I18" s="36" t="str">
        <x:v>D</x:v>
      </x:c>
      <x:c r="J18" s="36" t="str">
        <x:v>ND</x:v>
      </x:c>
      <x:c r="K18" s="36" t="str">
        <x:v>P</x:v>
      </x:c>
      <x:c r="L18" s="36" t="str">
        <x:v>ND</x:v>
      </x:c>
      <x:c r="M18" s="36" t="str">
        <x:v>Yes</x:v>
      </x:c>
      <x:c r="N18" s="34" t="str">
        <x:v>IM1</x:v>
      </x:c>
      <x:c r="O18" s="34" t="str">
        <x:v>No change</x:v>
      </x:c>
      <x:c r="P18" s="34" t="str">
        <x:v>S1_SCOPUS_ID057_Validation_Deployment_Gap_Agricultural_Information_Systems(1).pdf</x:v>
      </x:c>
      <x:c r="Q18" s="34" t="str">
        <x:v>Systematic review of 99 studies combining quantitative performance/TRL synthesis with qualitative barrier and implementation analysis. It contrasts strong computational performance with weak economic/contextual validation and limited sustained deployment, but does not contribute a new bounded technology deployment.</x:v>
      </x:c>
    </x:row>
    <x:row r="19">
      <x:c r="A19" s="36" t="str">
        <x:v>S18</x:v>
      </x:c>
      <x:c r="B19" s="36" t="str">
        <x:v>S1-058</x:v>
      </x:c>
      <x:c r="C19" s="36" t="str">
        <x:v>S1</x:v>
      </x:c>
      <x:c r="D19" s="36" t="n">
        <x:v>2026</x:v>
      </x:c>
      <x:c r="E19" s="34" t="str">
        <x:v>Digitalisation of food value chains in developing countries: Systemic barriers and a digital-maturity-stratified strategy for integrated and inclusive adoption</x:v>
      </x:c>
      <x:c r="F19" s="34" t="str">
        <x:v>10.1016/j.tifs.2026.105786</x:v>
      </x:c>
      <x:c r="G19" s="36" t="str">
        <x:v>C</x:v>
      </x:c>
      <x:c r="H19" s="36" t="str">
        <x:v>High</x:v>
      </x:c>
      <x:c r="I19" s="36" t="str">
        <x:v>D</x:v>
      </x:c>
      <x:c r="J19" s="36" t="str">
        <x:v>ND</x:v>
      </x:c>
      <x:c r="K19" s="36" t="str">
        <x:v>D</x:v>
      </x:c>
      <x:c r="L19" s="36" t="str">
        <x:v>ND</x:v>
      </x:c>
      <x:c r="M19" s="36" t="str">
        <x:v>Yes</x:v>
      </x:c>
      <x:c r="N19" s="34" t="str">
        <x:v>I23</x:v>
      </x:c>
      <x:c r="O19" s="34" t="str">
        <x:v>No change</x:v>
      </x:c>
      <x:c r="P19" s="34" t="str">
        <x:v>S1_SCOPUS_ID058_Digitalisation_Food_Value_Chains_Developing_Countries(2).pdf</x:v>
      </x:c>
      <x:c r="Q19" s="34" t="str">
        <x:v>Systematic review of developing-country food-value-chain digitalisation using UTAUT and PAR to diagnose systemic barriers and propose a five-level, four-phase maturity-stratified implementation strategy. The article provides a detailed conceptual support/repair ecosystem but no original bounded deployment.</x:v>
      </x:c>
    </x:row>
    <x:row r="20">
      <x:c r="A20" s="36" t="str">
        <x:v>S19</x:v>
      </x:c>
      <x:c r="B20" s="36" t="str">
        <x:v>S1-068</x:v>
      </x:c>
      <x:c r="C20" s="36" t="str">
        <x:v>S1</x:v>
      </x:c>
      <x:c r="D20" s="36" t="n">
        <x:v>2026</x:v>
      </x:c>
      <x:c r="E20" s="34" t="str">
        <x:v>A capability maturity model for assessing digital integration in smart farming</x:v>
      </x:c>
      <x:c r="F20" s="34" t="str">
        <x:v>10.1016/j.atech.2025.101743</x:v>
      </x:c>
      <x:c r="G20" s="36" t="str">
        <x:v>M</x:v>
      </x:c>
      <x:c r="H20" s="36" t="str">
        <x:v>High</x:v>
      </x:c>
      <x:c r="I20" s="36" t="str">
        <x:v>D</x:v>
      </x:c>
      <x:c r="J20" s="36" t="str">
        <x:v>ND</x:v>
      </x:c>
      <x:c r="K20" s="36" t="str">
        <x:v>ND</x:v>
      </x:c>
      <x:c r="L20" s="36" t="str">
        <x:v>ND</x:v>
      </x:c>
      <x:c r="M20" s="36" t="str">
        <x:v>Yes</x:v>
      </x:c>
      <x:c r="N20" s="34" t="str">
        <x:v>I3M</x:v>
      </x:c>
      <x:c r="O20" s="34" t="str">
        <x:v>I3M:P→ND</x:v>
      </x:c>
      <x:c r="P20" s="34" t="str">
        <x:v>S1_SCOPUS_ID068_Capability_Maturity_Digital_Integration_Smart_Farming(2).pdf</x:v>
      </x:c>
      <x:c r="Q20" s="34" t="str">
        <x:v>Mixed design-science and multi-case validation study. It develops CMM-SF and applies the maturity instrument to three Dutch smart-farming cases (arable, fruit research, dairy), producing organization/technology maturity diagnoses and improvement priorities. Iterative changes reported in the paper primarily concern the maturity-assessment artifact rather than a deployed agricultural technology learning cycle.</x:v>
      </x:c>
    </x:row>
    <x:row r="21">
      <x:c r="A21" s="36" t="str">
        <x:v>S20</x:v>
      </x:c>
      <x:c r="B21" s="36" t="str">
        <x:v>S1-080</x:v>
      </x:c>
      <x:c r="C21" s="36" t="str">
        <x:v>S1</x:v>
      </x:c>
      <x:c r="D21" s="36" t="n">
        <x:v>2022</x:v>
      </x:c>
      <x:c r="E21" s="34" t="str">
        <x:v>Responsible robotics design–A systems approach to developing design guides for robotics in pasture-grazed dairy farming</x:v>
      </x:c>
      <x:c r="F21" s="34" t="str">
        <x:v>10.3389/frobt.2022.914850</x:v>
      </x:c>
      <x:c r="G21" s="36" t="str">
        <x:v>C</x:v>
      </x:c>
      <x:c r="H21" s="36" t="str">
        <x:v>High</x:v>
      </x:c>
      <x:c r="I21" s="36" t="str">
        <x:v>D</x:v>
      </x:c>
      <x:c r="J21" s="36" t="str">
        <x:v>P</x:v>
      </x:c>
      <x:c r="K21" s="36" t="str">
        <x:v>D</x:v>
      </x:c>
      <x:c r="L21" s="36" t="str">
        <x:v>ND</x:v>
      </x:c>
      <x:c r="M21" s="36" t="str">
        <x:v>No</x:v>
      </x:c>
      <x:c r="N21" s="34" t="str"/>
      <x:c r="O21" s="34" t="str">
        <x:v>No change</x:v>
      </x:c>
      <x:c r="P21" s="34" t="str">
        <x:v>S1_SCOPUS_ID080_Responsible_Robotics_Design_Pasture_Dairy(1).pdf</x:v>
      </x:c>
      <x:c r="Q21" s="34" t="str">
        <x:v>Perspective/conceptual paper proposing a responsibility-by-design guide for agricultural robotics and applying it to the bounded case of high-throughput robotic milking in New Zealand pasture-grazed dairy systems. It derives detailed design and support requirements, but no prototype/deployment test of the proposed high-throughput system is reported.</x:v>
      </x:c>
    </x:row>
    <x:row r="22">
      <x:c r="A22" s="36" t="str">
        <x:v>S21</x:v>
      </x:c>
      <x:c r="B22" s="36" t="str">
        <x:v>S1-083</x:v>
      </x:c>
      <x:c r="C22" s="36" t="str">
        <x:v>S1</x:v>
      </x:c>
      <x:c r="D22" s="36" t="n">
        <x:v>2026</x:v>
      </x:c>
      <x:c r="E22" s="34" t="str">
        <x:v>Perceptions to Precision: Bridging the Gap Between Behavioral Drivers and Digital Tools for Sustainable Pesticide Use in Europe</x:v>
      </x:c>
      <x:c r="F22" s="34" t="str">
        <x:v>10.3390/agronomy16020214</x:v>
      </x:c>
      <x:c r="G22" s="36" t="str">
        <x:v>C</x:v>
      </x:c>
      <x:c r="H22" s="36" t="str">
        <x:v>High</x:v>
      </x:c>
      <x:c r="I22" s="36" t="str">
        <x:v>D</x:v>
      </x:c>
      <x:c r="J22" s="36" t="str">
        <x:v>D</x:v>
      </x:c>
      <x:c r="K22" s="36" t="str">
        <x:v>D</x:v>
      </x:c>
      <x:c r="L22" s="36" t="str">
        <x:v>ND</x:v>
      </x:c>
      <x:c r="M22" s="36" t="str">
        <x:v>No</x:v>
      </x:c>
      <x:c r="N22" s="34" t="str"/>
      <x:c r="O22" s="34" t="str">
        <x:v>No change</x:v>
      </x:c>
      <x:c r="P22" s="34" t="str">
        <x:v>S1_SCOPUS_ID083_Perceptions_Precision_Sustainable_Pesticides(1).pdf</x:v>
      </x:c>
      <x:c r="Q22" s="34" t="str">
        <x:v>Systematic review of 65 European studies integrating behavioural determinants of pesticide/IPM decisions with evidence on DSS, sensors and precision technologies. The review explicitly reconstructs bounded technology examples such as NEGFRY and LAS-DSS and proposes a Psycho-Digital Integration Framework with green insurance and independent advisory support.</x:v>
      </x:c>
    </x:row>
    <x:row r="23">
      <x:c r="A23" s="36" t="str">
        <x:v>S22</x:v>
      </x:c>
      <x:c r="B23" s="36" t="str">
        <x:v>S1-084</x:v>
      </x:c>
      <x:c r="C23" s="36" t="str">
        <x:v>S1</x:v>
      </x:c>
      <x:c r="D23" s="36" t="n">
        <x:v>2024</x:v>
      </x:c>
      <x:c r="E23" s="34" t="str">
        <x:v>Functional analysis of technological innovation systems enabling digital transformation: A semi-quantitative multicriteria framework applied in the olive sector</x:v>
      </x:c>
      <x:c r="F23" s="34" t="str">
        <x:v>10.1016/j.agsy.2023.103848</x:v>
      </x:c>
      <x:c r="G23" s="36" t="str">
        <x:v>M</x:v>
      </x:c>
      <x:c r="H23" s="36" t="str">
        <x:v>High</x:v>
      </x:c>
      <x:c r="I23" s="36" t="str">
        <x:v>D</x:v>
      </x:c>
      <x:c r="J23" s="36" t="str">
        <x:v>ND</x:v>
      </x:c>
      <x:c r="K23" s="36" t="str">
        <x:v>P</x:v>
      </x:c>
      <x:c r="L23" s="36" t="str">
        <x:v>ND</x:v>
      </x:c>
      <x:c r="M23" s="36" t="str">
        <x:v>Yes</x:v>
      </x:c>
      <x:c r="N23" s="34" t="str">
        <x:v>I12</x:v>
      </x:c>
      <x:c r="O23" s="34" t="str">
        <x:v>I12:P→D</x:v>
      </x:c>
      <x:c r="P23" s="34" t="str">
        <x:v>S1_SCOPUS_ID084_TIS_Digital_Transformation_Olive_Sector(1).pdf</x:v>
      </x:c>
      <x:c r="Q23" s="34" t="str">
        <x:v>Mixed methodological/empirical TIS study. It develops an AHP-based semi-quantitative framework and applies it to the regional technological innovation system for digital transformation of the Andalusian olive sector using 34 experts. The analysis is explicitly system-level (functions, subfunctions, actors, resources and policy priorities), not a bounded agricultural technology deployment.</x:v>
      </x:c>
    </x:row>
    <x:row r="24">
      <x:c r="A24" s="36" t="str">
        <x:v>S23</x:v>
      </x:c>
      <x:c r="B24" s="36" t="str">
        <x:v>S1-095</x:v>
      </x:c>
      <x:c r="C24" s="36" t="str">
        <x:v>S1</x:v>
      </x:c>
      <x:c r="D24" s="36" t="n">
        <x:v>2025</x:v>
      </x:c>
      <x:c r="E24" s="34" t="str">
        <x:v>How to measure digital maturity in agriculture? Conceptual outline, instrument development and measurement results from German farms</x:v>
      </x:c>
      <x:c r="F24" s="34" t="str">
        <x:v>10.22434/IFAMR.1027</x:v>
      </x:c>
      <x:c r="G24" s="36" t="str">
        <x:v>M</x:v>
      </x:c>
      <x:c r="H24" s="36" t="str">
        <x:v>High</x:v>
      </x:c>
      <x:c r="I24" s="36" t="str">
        <x:v>D</x:v>
      </x:c>
      <x:c r="J24" s="36" t="str">
        <x:v>ND</x:v>
      </x:c>
      <x:c r="K24" s="36" t="str">
        <x:v>P</x:v>
      </x:c>
      <x:c r="L24" s="36" t="str">
        <x:v>ND</x:v>
      </x:c>
      <x:c r="M24" s="36" t="str">
        <x:v>No</x:v>
      </x:c>
      <x:c r="N24" s="34" t="str"/>
      <x:c r="O24" s="34" t="str">
        <x:v>No change</x:v>
      </x:c>
      <x:c r="P24" s="34" t="str">
        <x:v>S1_SCOPUS_ID095_Digital_Maturity_German_Farms(2).pdf</x:v>
      </x:c>
      <x:c r="Q24" s="34" t="str">
        <x:v>Mixed maturity-model development and empirical survey study. The authors build a nine-dimension socio-technical digital maturity model using literature, 15 expert interviews and a survey of 123 German farms, then derive strategic development implications. The empirical object is farm-level digital maturity rather than one configured agricultural technology application.</x:v>
      </x:c>
    </x:row>
    <x:row r="25">
      <x:c r="A25" s="36" t="str">
        <x:v>S24</x:v>
      </x:c>
      <x:c r="B25" s="36" t="str">
        <x:v>S1-099</x:v>
      </x:c>
      <x:c r="C25" s="36" t="str">
        <x:v>S1</x:v>
      </x:c>
      <x:c r="D25" s="36" t="n">
        <x:v>2021</x:v>
      </x:c>
      <x:c r="E25" s="34" t="str">
        <x:v>Digital transformation of agriculture and rural areas: A socio-cyber-physical system framework to support responsibilisation</x:v>
      </x:c>
      <x:c r="F25" s="34" t="str">
        <x:v>10.1016/j.jrurstud.2021.05.003</x:v>
      </x:c>
      <x:c r="G25" s="36" t="str">
        <x:v>C</x:v>
      </x:c>
      <x:c r="H25" s="36" t="str">
        <x:v>High</x:v>
      </x:c>
      <x:c r="I25" s="36" t="str">
        <x:v>D</x:v>
      </x:c>
      <x:c r="J25" s="36" t="str">
        <x:v>ND</x:v>
      </x:c>
      <x:c r="K25" s="36" t="str">
        <x:v>P</x:v>
      </x:c>
      <x:c r="L25" s="36" t="str">
        <x:v>ND</x:v>
      </x:c>
      <x:c r="M25" s="36" t="str">
        <x:v>Yes</x:v>
      </x:c>
      <x:c r="N25" s="34" t="str">
        <x:v>I23</x:v>
      </x:c>
      <x:c r="O25" s="34" t="str">
        <x:v>I23:P→ND</x:v>
      </x:c>
      <x:c r="P25" s="34" t="str">
        <x:v>S1_SCOPUS_ID099_Socio_Cyber_Physical_Responsibilisation(1).pdf</x:v>
      </x:c>
      <x:c r="Q25" s="34" t="str">
        <x:v>Conceptual socio-cyber-physical-system framework for responsible digital transformation, illustrated with a bounded dairy/robotic-milking example assembled from prior literature. The paper explicitly derives design/access requirements and responsibilities, but does not report its own bounded technology test or a closed deployment-learning cycle.</x:v>
      </x:c>
    </x:row>
    <x:row r="26">
      <x:c r="A26" s="36" t="str">
        <x:v>S25</x:v>
      </x:c>
      <x:c r="B26" s="36" t="str">
        <x:v>S1-107</x:v>
      </x:c>
      <x:c r="C26" s="36" t="str">
        <x:v>S1</x:v>
      </x:c>
      <x:c r="D26" s="36" t="n">
        <x:v>2026</x:v>
      </x:c>
      <x:c r="E26" s="34" t="str">
        <x:v>Advances in Emerging Digital Technologies for Sustainable Agriculture: Applications and Future Perspectives</x:v>
      </x:c>
      <x:c r="F26" s="34" t="str">
        <x:v>10.3390/earth7020063</x:v>
      </x:c>
      <x:c r="G26" s="36" t="str">
        <x:v>C</x:v>
      </x:c>
      <x:c r="H26" s="36" t="str">
        <x:v>High</x:v>
      </x:c>
      <x:c r="I26" s="36" t="str">
        <x:v>D</x:v>
      </x:c>
      <x:c r="J26" s="36" t="str">
        <x:v>D</x:v>
      </x:c>
      <x:c r="K26" s="36" t="str">
        <x:v>P</x:v>
      </x:c>
      <x:c r="L26" s="36" t="str">
        <x:v>ND</x:v>
      </x:c>
      <x:c r="M26" s="36" t="str">
        <x:v>No</x:v>
      </x:c>
      <x:c r="N26" s="34" t="str"/>
      <x:c r="O26" s="34" t="str">
        <x:v>No change</x:v>
      </x:c>
      <x:c r="P26" s="34" t="str">
        <x:v>S1_SCOPUS_ID107_Emerging_Digital_Technologies_Sustainable_Agriculture(1).pdf</x:v>
      </x:c>
      <x:c r="Q26" s="34" t="str">
        <x:v>Systematic evidence-mapping review of 101 empirically validated studies on IoT, AI/ML, precision agriculture, robotics, blockchain and digital twins. The publication itself provides conceptual/review evidence, but it explicitly reconstructs several bounded primary-study technology examples and synthesizes implementation barriers involving connectivity, infrastructure, maintenance, interoperability, skills and long-term validation.</x:v>
      </x:c>
    </x:row>
    <x:row r="27">
      <x:c r="A27" s="36" t="str">
        <x:v>S26</x:v>
      </x:c>
      <x:c r="B27" s="36" t="str">
        <x:v>S1-114</x:v>
      </x:c>
      <x:c r="C27" s="36" t="str">
        <x:v>S1</x:v>
      </x:c>
      <x:c r="D27" s="36" t="n">
        <x:v>2025</x:v>
      </x:c>
      <x:c r="E27" s="34" t="str">
        <x:v>Analysing blockchain adoption in beekeeping: application of theoretical models and their effectiveness</x:v>
      </x:c>
      <x:c r="F27" s="34" t="str">
        <x:v>10.3389/fsufs.2025.1566341</x:v>
      </x:c>
      <x:c r="G27" s="36" t="str">
        <x:v>M</x:v>
      </x:c>
      <x:c r="H27" s="36" t="str">
        <x:v>High</x:v>
      </x:c>
      <x:c r="I27" s="36" t="str">
        <x:v>D</x:v>
      </x:c>
      <x:c r="J27" s="36" t="str">
        <x:v>ND</x:v>
      </x:c>
      <x:c r="K27" s="36" t="str">
        <x:v>P</x:v>
      </x:c>
      <x:c r="L27" s="36" t="str">
        <x:v>ND</x:v>
      </x:c>
      <x:c r="M27" s="36" t="str">
        <x:v>No</x:v>
      </x:c>
      <x:c r="N27" s="34" t="str"/>
      <x:c r="O27" s="34" t="str">
        <x:v>No change</x:v>
      </x:c>
      <x:c r="P27" s="34" t="str">
        <x:v>S1_SCOPUS_ID114_Blockchain_Adoption_Beekeeping(1).pdf</x:v>
      </x:c>
      <x:c r="Q27" s="34" t="str">
        <x:v>Mixed conceptual-empirical adoption study applying extended TPB and TAM models with a digital-maturity construct to 159 beekeepers in Spain, Türkiye and Tunisia. It empirically identifies adoption conditions and translates them into training, resource, usability and co-design implications, but it does not deploy or technically evaluate a configured blockchain traceability system.</x:v>
      </x:c>
    </x:row>
    <x:row r="28">
      <x:c r="A28" s="36" t="str">
        <x:v>S27</x:v>
      </x:c>
      <x:c r="B28" s="36" t="str">
        <x:v>S1-116</x:v>
      </x:c>
      <x:c r="C28" s="36" t="str">
        <x:v>S1</x:v>
      </x:c>
      <x:c r="D28" s="36" t="n">
        <x:v>2024</x:v>
      </x:c>
      <x:c r="E28" s="34" t="str">
        <x:v>Food security, the agriculture value chain, and digital transformation: The case of Jamaica’s agricultural business information system (ABIS)</x:v>
      </x:c>
      <x:c r="F28" s="34" t="str">
        <x:v>10.1016/j.techsoc.2024.102523</x:v>
      </x:c>
      <x:c r="G28" s="36" t="str">
        <x:v>E</x:v>
      </x:c>
      <x:c r="H28" s="36" t="str">
        <x:v>High</x:v>
      </x:c>
      <x:c r="I28" s="36" t="str">
        <x:v>D</x:v>
      </x:c>
      <x:c r="J28" s="36" t="str">
        <x:v>D</x:v>
      </x:c>
      <x:c r="K28" s="36" t="str">
        <x:v>D</x:v>
      </x:c>
      <x:c r="L28" s="36" t="str">
        <x:v>P</x:v>
      </x:c>
      <x:c r="M28" s="36" t="str">
        <x:v>No</x:v>
      </x:c>
      <x:c r="N28" s="34" t="str"/>
      <x:c r="O28" s="34" t="str">
        <x:v>No change</x:v>
      </x:c>
      <x:c r="P28" s="34" t="str">
        <x:v>S1_SCOPUS_ID116_Jamaica_ABIS_Digital_Transformation(1).pdf</x:v>
      </x:c>
      <x:c r="Q28" s="34" t="str">
        <x:v>Empirical embedded single-case study of the deployed Jamaican ABIS platform using interviews, focus groups, observations and document analysis across farmers, extension officers, system managers, developers and funders. It documents operational barriers, support workarounds and qualitative deployment results, and provides an explicit event→diagnosis anchor for partial IM1 under the frozen v1.3 rules.</x:v>
      </x:c>
    </x:row>
    <x:row r="29">
      <x:c r="A29" s="36" t="str">
        <x:v>S28</x:v>
      </x:c>
      <x:c r="B29" s="36" t="str">
        <x:v>S1-117</x:v>
      </x:c>
      <x:c r="C29" s="36" t="str">
        <x:v>S1</x:v>
      </x:c>
      <x:c r="D29" s="36" t="n">
        <x:v>2025</x:v>
      </x:c>
      <x:c r="E29" s="34" t="str">
        <x:v>Supporting ecosystem for farmers’ food traceability participation: A systematic review</x:v>
      </x:c>
      <x:c r="F29" s="34" t="str">
        <x:v>10.1016/j.jafr.2025.102288</x:v>
      </x:c>
      <x:c r="G29" s="36" t="str">
        <x:v>C</x:v>
      </x:c>
      <x:c r="H29" s="36" t="str">
        <x:v>High</x:v>
      </x:c>
      <x:c r="I29" s="36" t="str">
        <x:v>D</x:v>
      </x:c>
      <x:c r="J29" s="36" t="str">
        <x:v>ND</x:v>
      </x:c>
      <x:c r="K29" s="36" t="str">
        <x:v>P</x:v>
      </x:c>
      <x:c r="L29" s="36" t="str">
        <x:v>P</x:v>
      </x:c>
      <x:c r="M29" s="36" t="str">
        <x:v>Yes</x:v>
      </x:c>
      <x:c r="N29" s="34" t="str">
        <x:v>I23</x:v>
      </x:c>
      <x:c r="O29" s="34" t="str">
        <x:v>I23:D→ND</x:v>
      </x:c>
      <x:c r="P29" s="34" t="str">
        <x:v>S1_SCOPUS_ID117_Food_Traceability_Supporting_Ecosystem(2).pdf</x:v>
      </x:c>
      <x:c r="Q29" s="34" t="str">
        <x:v>Systematic review of 39 empirical studies on farmers’ participation in digital traceability. It synthesizes value/culture, technology, capability, data and data-sharing factors into the DMFTI. The review explicitly reconstructs bounded primary-study technology evaluations (including RFID cattle/beef traceability) and also contains a bounded continued-use example in which software updates caused renewed user confusion.</x:v>
      </x:c>
    </x:row>
    <x:row r="30">
      <x:c r="A30" s="36" t="str">
        <x:v>S29</x:v>
      </x:c>
      <x:c r="B30" s="36" t="str">
        <x:v>S1-130</x:v>
      </x:c>
      <x:c r="C30" s="36" t="str">
        <x:v>S1</x:v>
      </x:c>
      <x:c r="D30" s="36" t="n">
        <x:v>2024</x:v>
      </x:c>
      <x:c r="E30" s="34" t="str">
        <x:v>Practices, Challenges, and Future of Digital Transformation in Smallholder Agriculture: Insights from a Literature Review</x:v>
      </x:c>
      <x:c r="F30" s="34" t="str">
        <x:v>10.3390/agriculture14122193</x:v>
      </x:c>
      <x:c r="G30" s="36" t="str">
        <x:v>C</x:v>
      </x:c>
      <x:c r="H30" s="36" t="str">
        <x:v>High</x:v>
      </x:c>
      <x:c r="I30" s="36" t="str">
        <x:v>D</x:v>
      </x:c>
      <x:c r="J30" s="36" t="str">
        <x:v>P</x:v>
      </x:c>
      <x:c r="K30" s="36" t="str">
        <x:v>P</x:v>
      </x:c>
      <x:c r="L30" s="36" t="str">
        <x:v>ND</x:v>
      </x:c>
      <x:c r="M30" s="36" t="str">
        <x:v>Yes</x:v>
      </x:c>
      <x:c r="N30" s="34" t="str">
        <x:v>I3M</x:v>
      </x:c>
      <x:c r="O30" s="34" t="str">
        <x:v>No change</x:v>
      </x:c>
      <x:c r="P30" s="34" t="str">
        <x:v>S1_SCOPUS_ID130_Digital_Transformation_Smallholder_Agriculture(2).pdf</x:v>
      </x:c>
      <x:c r="Q30" s="34" t="str">
        <x:v>Literature review organized around a government–technology–smallholder framework. It maps infrastructure, policy, usability, affordability, literacy, heterogeneity and sociocultural constraints to targeted interventions, and gives bounded examples of named digital services and tools, but does not reconstruct a complete technology evaluation/result chain or deployment-level learning cycle.</x:v>
      </x:c>
    </x:row>
    <x:row r="31">
      <x:c r="A31" s="36" t="str">
        <x:v>S30</x:v>
      </x:c>
      <x:c r="B31" s="36" t="str">
        <x:v>S2-005</x:v>
      </x:c>
      <x:c r="C31" s="36" t="str">
        <x:v>S2</x:v>
      </x:c>
      <x:c r="D31" s="36" t="n">
        <x:v>2026</x:v>
      </x:c>
      <x:c r="E31" s="34" t="str">
        <x:v>From IoT to AIoT: Evolving Agricultural Systems Through Intelligent Connectivity in Low-Income Countries</x:v>
      </x:c>
      <x:c r="F31" s="34" t="str">
        <x:v>10.3390/fi18020082</x:v>
      </x:c>
      <x:c r="G31" s="36" t="str">
        <x:v>C</x:v>
      </x:c>
      <x:c r="H31" s="36" t="str">
        <x:v>High</x:v>
      </x:c>
      <x:c r="I31" s="36" t="str">
        <x:v>D</x:v>
      </x:c>
      <x:c r="J31" s="36" t="str">
        <x:v>P</x:v>
      </x:c>
      <x:c r="K31" s="36" t="str">
        <x:v>P</x:v>
      </x:c>
      <x:c r="L31" s="36" t="str">
        <x:v>ND</x:v>
      </x:c>
      <x:c r="M31" s="36" t="str">
        <x:v>No</x:v>
      </x:c>
      <x:c r="N31" s="34" t="str"/>
      <x:c r="O31" s="34" t="str">
        <x:v>No change</x:v>
      </x:c>
      <x:c r="P31" s="34" t="str">
        <x:v>S2_SCOPUS_005_From_IoT_to_AIoT_Low_Income_Countries(2).pdf</x:v>
      </x:c>
      <x:c r="Q31" s="34" t="str">
        <x:v>Systematic narrative review with PRISMA-based thematic synthesis focused on low-income and African agricultural contexts. It translates connectivity, energy, data, compute, affordability, capacity and governance constraints into a context-adapted AIoT reference architecture and summarizes bounded primary-study application examples, while the proposed integrated architecture itself remains unvalidated.</x:v>
      </x:c>
    </x:row>
    <x:row r="32">
      <x:c r="A32" s="36" t="str">
        <x:v>S31</x:v>
      </x:c>
      <x:c r="B32" s="36" t="str">
        <x:v>S2-006</x:v>
      </x:c>
      <x:c r="C32" s="36" t="str">
        <x:v>S2</x:v>
      </x:c>
      <x:c r="D32" s="36" t="n">
        <x:v>2025</x:v>
      </x:c>
      <x:c r="E32" s="34" t="str">
        <x:v>Synergizing IoT, AI, and blockchain for smart agriculture: Challenges, opportunities, and future directions</x:v>
      </x:c>
      <x:c r="F32" s="34" t="str">
        <x:v>10.1016/j.iot.2025.101778</x:v>
      </x:c>
      <x:c r="G32" s="36" t="str">
        <x:v>C</x:v>
      </x:c>
      <x:c r="H32" s="36" t="str">
        <x:v>High</x:v>
      </x:c>
      <x:c r="I32" s="36" t="str">
        <x:v>D</x:v>
      </x:c>
      <x:c r="J32" s="36" t="str">
        <x:v>D</x:v>
      </x:c>
      <x:c r="K32" s="36" t="str">
        <x:v>ND</x:v>
      </x:c>
      <x:c r="L32" s="36" t="str">
        <x:v>ND</x:v>
      </x:c>
      <x:c r="M32" s="36" t="str">
        <x:v>Yes</x:v>
      </x:c>
      <x:c r="N32" s="34" t="str">
        <x:v>I3M, I23</x:v>
      </x:c>
      <x:c r="O32" s="34" t="str">
        <x:v>I23:P→D; I3M:P→ND</x:v>
      </x:c>
      <x:c r="P32" s="34" t="str">
        <x:v>S2_SCOPUS_006_Synergizing_IoT_AI_Blockchain_Smart_Agriculture(3).pdf</x:v>
      </x:c>
      <x:c r="Q32" s="34" t="str">
        <x:v>Systematic PRISMA review of 35 studies on IoT, AI and blockchain integration in smart agriculture. It synthesizes practical applications, measurable impacts, communication/security issues and socio-technical barriers, and translates those barriers into mitigation and design requirements. The evidence remains review-level and heterogeneous; no bounded deployment learning cycle is reconstructed.</x:v>
      </x:c>
    </x:row>
    <x:row r="33">
      <x:c r="A33" s="36" t="str">
        <x:v>S32</x:v>
      </x:c>
      <x:c r="B33" s="36" t="str">
        <x:v>S2-007</x:v>
      </x:c>
      <x:c r="C33" s="36" t="str">
        <x:v>S2</x:v>
      </x:c>
      <x:c r="D33" s="36" t="n">
        <x:v>2025</x:v>
      </x:c>
      <x:c r="E33" s="34" t="str">
        <x:v>Meta Ag: An automatic agricultural contextual metadata collection app</x:v>
      </x:c>
      <x:c r="F33" s="34" t="str">
        <x:v>10.1016/j.atech.2025.101073</x:v>
      </x:c>
      <x:c r="G33" s="36" t="str">
        <x:v>E</x:v>
      </x:c>
      <x:c r="H33" s="36" t="str">
        <x:v>High</x:v>
      </x:c>
      <x:c r="I33" s="36" t="str">
        <x:v>D</x:v>
      </x:c>
      <x:c r="J33" s="36" t="str">
        <x:v>D</x:v>
      </x:c>
      <x:c r="K33" s="36" t="str">
        <x:v>D</x:v>
      </x:c>
      <x:c r="L33" s="36" t="str">
        <x:v>P</x:v>
      </x:c>
      <x:c r="M33" s="36" t="str">
        <x:v>No</x:v>
      </x:c>
      <x:c r="N33" s="34" t="str"/>
      <x:c r="O33" s="34" t="str">
        <x:v>No change</x:v>
      </x:c>
      <x:c r="P33" s="34" t="str">
        <x:v>S2_SCOPUS_007_Meta_Ag_Contextual_Metadata_App(1).pdf</x:v>
      </x:c>
      <x:c r="Q33" s="34" t="str">
        <x:v>Empirical design-and-evaluation study of the open-source Meta Ag Android app for contextual field metadata. The configured app was tested by the research team in real Purdue ACRE fields and under constrained/offline conditions against manual timing and cloud-latency measures. A false-positive field event was explicitly diagnosed as caused by an incorrectly drawn geofence boundary, but no post-diagnosis correction and retest are reported.</x:v>
      </x:c>
    </x:row>
    <x:row r="34">
      <x:c r="A34" s="36" t="str">
        <x:v>S33</x:v>
      </x:c>
      <x:c r="B34" s="36" t="str">
        <x:v>S2-010</x:v>
      </x:c>
      <x:c r="C34" s="36" t="str">
        <x:v>S2</x:v>
      </x:c>
      <x:c r="D34" s="36" t="n">
        <x:v>2023</x:v>
      </x:c>
      <x:c r="E34" s="34" t="str">
        <x:v>Internet of Things in aquaculture: A review of the challenges and potential solutions based on current and future trends</x:v>
      </x:c>
      <x:c r="F34" s="34" t="str">
        <x:v>10.1016/j.atech.2023.100187</x:v>
      </x:c>
      <x:c r="G34" s="36" t="str">
        <x:v>C</x:v>
      </x:c>
      <x:c r="H34" s="36" t="str">
        <x:v>High</x:v>
      </x:c>
      <x:c r="I34" s="36" t="str">
        <x:v>D</x:v>
      </x:c>
      <x:c r="J34" s="36" t="str">
        <x:v>D</x:v>
      </x:c>
      <x:c r="K34" s="36" t="str">
        <x:v>P</x:v>
      </x:c>
      <x:c r="L34" s="36" t="str">
        <x:v>P</x:v>
      </x:c>
      <x:c r="M34" s="36" t="str">
        <x:v>Yes</x:v>
      </x:c>
      <x:c r="N34" s="34" t="str">
        <x:v>IM1</x:v>
      </x:c>
      <x:c r="O34" s="34" t="str">
        <x:v>IM1:ND→P</x:v>
      </x:c>
      <x:c r="P34" s="34" t="str">
        <x:v>S2_SCOPUS_010_IoT_Aquaculture_Challenges_Solutions(2).pdf</x:v>
      </x:c>
      <x:c r="Q34" s="34" t="str">
        <x:v>Review of 78 IoT/aquaculture manuscripts, including prototype and laboratory/proposal systems, organized around species/farm context and infrastructure-, data-, maintenance- and perception-related challenges. It explicitly translates operating conditions into design and continuity requirements and reconstructs bounded primary-study examples, including automatic water-quality correction, but does not document a closed deployment-learning cycle.</x:v>
      </x:c>
    </x:row>
    <x:row r="35">
      <x:c r="A35" s="36" t="str">
        <x:v>S34</x:v>
      </x:c>
      <x:c r="B35" s="36" t="str">
        <x:v>S2-011</x:v>
      </x:c>
      <x:c r="C35" s="36" t="str">
        <x:v>S2</x:v>
      </x:c>
      <x:c r="D35" s="36" t="n">
        <x:v>2024</x:v>
      </x:c>
      <x:c r="E35" s="34" t="str">
        <x:v>Resource-Efficient Ubiquitous Sensor Networks for Smart Agriculture: A Survey</x:v>
      </x:c>
      <x:c r="F35" s="34" t="str">
        <x:v>10.1109/ACCESS.2024.3516814</x:v>
      </x:c>
      <x:c r="G35" s="36" t="str">
        <x:v>C</x:v>
      </x:c>
      <x:c r="H35" s="36" t="str">
        <x:v>High</x:v>
      </x:c>
      <x:c r="I35" s="36" t="str">
        <x:v>D</x:v>
      </x:c>
      <x:c r="J35" s="36" t="str">
        <x:v>P</x:v>
      </x:c>
      <x:c r="K35" s="36" t="str">
        <x:v>P</x:v>
      </x:c>
      <x:c r="L35" s="36" t="str">
        <x:v>ND</x:v>
      </x:c>
      <x:c r="M35" s="36" t="str">
        <x:v>Yes</x:v>
      </x:c>
      <x:c r="N35" s="34" t="str">
        <x:v>I23</x:v>
      </x:c>
      <x:c r="O35" s="34" t="str">
        <x:v>I23:ND→P</x:v>
      </x:c>
      <x:c r="P35" s="34" t="str">
        <x:v>S2_SCOPUS_011_Resource_Efficient_Sensor_Networks_Survey(2).pdf</x:v>
      </x:c>
      <x:c r="Q35" s="34" t="str">
        <x:v>Technical survey of resource-efficient ubiquitous sensor networks for smart agriculture. It explicitly translates field scale, environmental exposure, long operating periods, connectivity, timing, security and resource constraints into sensing, communication and processing requirements. The review remains architecture/category-level for I23 and does not reconstruct a bounded deployment-learning cycle.</x:v>
      </x:c>
    </x:row>
    <x:row r="36">
      <x:c r="A36" s="36" t="str">
        <x:v>S35</x:v>
      </x:c>
      <x:c r="B36" s="36" t="str">
        <x:v>S2-012</x:v>
      </x:c>
      <x:c r="C36" s="36" t="str">
        <x:v>S2</x:v>
      </x:c>
      <x:c r="D36" s="36" t="n">
        <x:v>2025</x:v>
      </x:c>
      <x:c r="E36" s="34" t="str">
        <x:v>The IoT and AI in Agriculture: The Time Is Now—A Systematic Review of Smart Sensing Technologies</x:v>
      </x:c>
      <x:c r="F36" s="34" t="str">
        <x:v>10.3390/s25123583</x:v>
      </x:c>
      <x:c r="G36" s="36" t="str">
        <x:v>C</x:v>
      </x:c>
      <x:c r="H36" s="36" t="str">
        <x:v>High</x:v>
      </x:c>
      <x:c r="I36" s="36" t="str">
        <x:v>D</x:v>
      </x:c>
      <x:c r="J36" s="36" t="str">
        <x:v>ND</x:v>
      </x:c>
      <x:c r="K36" s="36" t="str">
        <x:v>P</x:v>
      </x:c>
      <x:c r="L36" s="36" t="str">
        <x:v>ND</x:v>
      </x:c>
      <x:c r="M36" s="36" t="str">
        <x:v>Yes</x:v>
      </x:c>
      <x:c r="N36" s="34" t="str">
        <x:v>I23</x:v>
      </x:c>
      <x:c r="O36" s="34" t="str">
        <x:v>No change</x:v>
      </x:c>
      <x:c r="P36" s="34" t="str">
        <x:v>S2_SCOPUS_012_IoT_AI_Agriculture_Smart_Sensing_Review(3).pdf</x:v>
      </x:c>
      <x:c r="Q36" s="34" t="str">
        <x:v>Systematic review of IoT- and AI-integrated sensing for arable crops and grasslands. It maps environmental variability, rural connectivity, interoperability, sensor durability, cost, skills, cybersecurity and governance constraints to context-aware deployment requirements. Its application tables aggregate technology classes and regional examples rather than preserving one bounded A2→A3 anchor.</x:v>
      </x:c>
    </x:row>
    <x:row r="37">
      <x:c r="A37" s="36" t="str">
        <x:v>S36</x:v>
      </x:c>
      <x:c r="B37" s="36" t="str">
        <x:v>S2-013</x:v>
      </x:c>
      <x:c r="C37" s="36" t="str">
        <x:v>S2</x:v>
      </x:c>
      <x:c r="D37" s="36" t="n">
        <x:v>2024</x:v>
      </x:c>
      <x:c r="E37" s="34" t="str">
        <x:v>Public irrigation decision support systems (IDSS) in Italy: Description, evaluation and national context overview</x:v>
      </x:c>
      <x:c r="F37" s="34" t="str">
        <x:v>10.1016/j.atech.2024.100564</x:v>
      </x:c>
      <x:c r="G37" s="36" t="str">
        <x:v>M</x:v>
      </x:c>
      <x:c r="H37" s="36" t="str">
        <x:v>High</x:v>
      </x:c>
      <x:c r="I37" s="36" t="str">
        <x:v>D</x:v>
      </x:c>
      <x:c r="J37" s="36" t="str">
        <x:v>D</x:v>
      </x:c>
      <x:c r="K37" s="36" t="str">
        <x:v>D</x:v>
      </x:c>
      <x:c r="L37" s="36" t="str">
        <x:v>ND</x:v>
      </x:c>
      <x:c r="M37" s="36" t="str">
        <x:v>Yes</x:v>
      </x:c>
      <x:c r="N37" s="34" t="str">
        <x:v>I3M, IM1</x:v>
      </x:c>
      <x:c r="O37" s="34" t="str">
        <x:v>IM1:P→ND</x:v>
      </x:c>
      <x:c r="P37" s="34" t="str">
        <x:v>S2_SCOPUS_013_Public_Irrigation_DSS_Italy(2).pdf</x:v>
      </x:c>
      <x:c r="Q37" s="34" t="str">
        <x:v>Comparative evaluation of operational public irrigation DSS in Italy. It preserves bounded requirement→configured-capability→evaluation→result chains for named services such as IRRIFRAME and IRRISAT, documents named service providers and maintenance/continuity arrangements, and reports an operational accessibility problem attributed to recurrent service disruptions, supporting a partial IM1 event→diagnosis anchor.</x:v>
      </x:c>
    </x:row>
    <x:row r="38">
      <x:c r="A38" s="36" t="str">
        <x:v>S37</x:v>
      </x:c>
      <x:c r="B38" s="36" t="str">
        <x:v>S2-018</x:v>
      </x:c>
      <x:c r="C38" s="36" t="str">
        <x:v>S2</x:v>
      </x:c>
      <x:c r="D38" s="36" t="n">
        <x:v>2024</x:v>
      </x:c>
      <x:c r="E38" s="34" t="str">
        <x:v>Adaptive and predictive decision support system for irrigation scheduling: An approach integrating humans in the control loop</x:v>
      </x:c>
      <x:c r="F38" s="34" t="str">
        <x:v>10.1016/j.compag.2024.108640</x:v>
      </x:c>
      <x:c r="G38" s="36" t="str">
        <x:v>M</x:v>
      </x:c>
      <x:c r="H38" s="36" t="str">
        <x:v>High</x:v>
      </x:c>
      <x:c r="I38" s="36" t="str">
        <x:v>D</x:v>
      </x:c>
      <x:c r="J38" s="36" t="str">
        <x:v>D</x:v>
      </x:c>
      <x:c r="K38" s="36" t="str">
        <x:v>D</x:v>
      </x:c>
      <x:c r="L38" s="36" t="str">
        <x:v>ND</x:v>
      </x:c>
      <x:c r="M38" s="36" t="str">
        <x:v>Yes</x:v>
      </x:c>
      <x:c r="N38" s="34" t="str">
        <x:v>I3M</x:v>
      </x:c>
      <x:c r="O38" s="34" t="str">
        <x:v>I3M:P→D</x:v>
      </x:c>
      <x:c r="P38" s="34" t="str">
        <x:v>S2_SCOPUS_018_Adaptive_Predictive_DSS_Irrigation(1).pdf</x:v>
      </x:c>
      <x:c r="Q38" s="34" t="str">
        <x:v>Mixed design-and-evaluation study of an adaptive, predictive irrigation DSS that explicitly incorporates human operation. The configured control-oriented model, data processing, parameter estimation and feedback/feedforward control were evaluated with measurements from a commercial sweetcorn field in South Florida and simulated forecast/parameter uncertainty. The study reports strong model fit, soil-moisture regulation and potential water savings, while end-user implementation remains future work.</x:v>
      </x:c>
    </x:row>
    <x:row r="39">
      <x:c r="A39" s="36" t="str">
        <x:v>S38</x:v>
      </x:c>
      <x:c r="B39" s="36" t="str">
        <x:v>S2-022</x:v>
      </x:c>
      <x:c r="C39" s="36" t="str">
        <x:v>S2</x:v>
      </x:c>
      <x:c r="D39" s="36" t="n">
        <x:v>2024</x:v>
      </x:c>
      <x:c r="E39" s="34" t="str">
        <x:v>Promoting the Transition towards Agriculture 4.0: A Systematic Literature Review on Drivers and Barriers</x:v>
      </x:c>
      <x:c r="F39" s="34" t="str">
        <x:v>10.3390/su16062425</x:v>
      </x:c>
      <x:c r="G39" s="36" t="str">
        <x:v>C</x:v>
      </x:c>
      <x:c r="H39" s="36" t="str">
        <x:v>High</x:v>
      </x:c>
      <x:c r="I39" s="36" t="str">
        <x:v>D</x:v>
      </x:c>
      <x:c r="J39" s="36" t="str">
        <x:v>ND</x:v>
      </x:c>
      <x:c r="K39" s="36" t="str">
        <x:v>P</x:v>
      </x:c>
      <x:c r="L39" s="36" t="str">
        <x:v>ND</x:v>
      </x:c>
      <x:c r="M39" s="36" t="str">
        <x:v>No</x:v>
      </x:c>
      <x:c r="N39" s="34" t="str"/>
      <x:c r="O39" s="34" t="str">
        <x:v>No change</x:v>
      </x:c>
      <x:c r="P39" s="34" t="str">
        <x:v>S2_SCOPUS_022_Agriculture_4_0_Drivers_Barriers_Review(1).pdf</x:v>
      </x:c>
      <x:c r="Q39" s="34" t="str">
        <x:v>PRISMA systematic review of 42 empirical adoption studies. It synthesizes individual, economic, environmental, farm-related, institutional, technological and psychological drivers/barriers and translates them into implementation and support implications. The review is adoption/system-level and does not reconstruct a bounded application-requirement→specific configured-capability example for I23.</x:v>
      </x:c>
    </x:row>
    <x:row r="40">
      <x:c r="A40" s="36" t="str">
        <x:v>S39</x:v>
      </x:c>
      <x:c r="B40" s="36" t="str">
        <x:v>S2-024</x:v>
      </x:c>
      <x:c r="C40" s="36" t="str">
        <x:v>S2</x:v>
      </x:c>
      <x:c r="D40" s="36" t="n">
        <x:v>2025</x:v>
      </x:c>
      <x:c r="E40" s="34" t="str">
        <x:v>Real-time applications in perennial trees and vegetables – A review</x:v>
      </x:c>
      <x:c r="F40" s="34" t="str">
        <x:v>10.1016/j.atech.2025.100918</x:v>
      </x:c>
      <x:c r="G40" s="36" t="str">
        <x:v>C</x:v>
      </x:c>
      <x:c r="H40" s="36" t="str">
        <x:v>High</x:v>
      </x:c>
      <x:c r="I40" s="36" t="str">
        <x:v>D</x:v>
      </x:c>
      <x:c r="J40" s="36" t="str">
        <x:v>D</x:v>
      </x:c>
      <x:c r="K40" s="36" t="str">
        <x:v>ND</x:v>
      </x:c>
      <x:c r="L40" s="36" t="str">
        <x:v>ND</x:v>
      </x:c>
      <x:c r="M40" s="36" t="str">
        <x:v>Yes</x:v>
      </x:c>
      <x:c r="N40" s="34" t="str">
        <x:v>I3M, IM1</x:v>
      </x:c>
      <x:c r="O40" s="34" t="str">
        <x:v>I3M:P→ND; IM1:P→ND</x:v>
      </x:c>
      <x:c r="P40" s="34" t="str">
        <x:v>S2_SCOPUS_024_Real_Time_Applications_Perennial_Vegetables_Review(3).pdf</x:v>
      </x:c>
      <x:c r="Q40" s="34" t="str">
        <x:v>Structured review of experimental real-time automation in crop protection, fertilization, weeding, harvesting and crop-load management. It explicitly reconstructs bounded sensor–controller–actuator examples with field evaluations and task-specific results. A bounded LiDAR variable-rate spraying example also reports over-application in small canopy volumes and explicitly attributes it to the imposed minimum flow-rate constraint, satisfying the frozen v1.3 IM1=P event→diagnosis anchor but not a change/retest cycle.</x:v>
      </x:c>
    </x:row>
    <x:row r="41">
      <x:c r="A41" s="36" t="str">
        <x:v>S40</x:v>
      </x:c>
      <x:c r="B41" s="36" t="str">
        <x:v>S2-026</x:v>
      </x:c>
      <x:c r="C41" s="36" t="str">
        <x:v>S2</x:v>
      </x:c>
      <x:c r="D41" s="36" t="n">
        <x:v>2023</x:v>
      </x:c>
      <x:c r="E41" s="34" t="str">
        <x:v>Creating shared value(s) from On-Farm Experimentation: ten key lessons learned from the development of the SoYield® digital solution in Africa</x:v>
      </x:c>
      <x:c r="F41" s="34" t="str">
        <x:v>10.1007/s13593-023-00888-7</x:v>
      </x:c>
      <x:c r="G41" s="36" t="str">
        <x:v>M</x:v>
      </x:c>
      <x:c r="H41" s="36" t="str">
        <x:v>High</x:v>
      </x:c>
      <x:c r="I41" s="36" t="str">
        <x:v>D</x:v>
      </x:c>
      <x:c r="J41" s="36" t="str">
        <x:v>D</x:v>
      </x:c>
      <x:c r="K41" s="36" t="str">
        <x:v>D</x:v>
      </x:c>
      <x:c r="L41" s="36" t="str">
        <x:v>D</x:v>
      </x:c>
      <x:c r="M41" s="36" t="str">
        <x:v>No</x:v>
      </x:c>
      <x:c r="N41" s="34" t="str"/>
      <x:c r="O41" s="34" t="str">
        <x:v>No change</x:v>
      </x:c>
      <x:c r="P41" s="34" t="str">
        <x:v>S2_SCOPUS_026_SoYield_On_Farm_Experimentation(1).pdf</x:v>
      </x:c>
      <x:c r="Q41" s="34" t="str">
        <x:v>Mixed longitudinal OFE case and reflexive analysis of the SoYield® DSS development. The paper documents user/context requirements, configured digital capabilities, repeated field beta-testing, formal partnership/support arrangements, and explicit iterative learning in which user feedback and diagnosed usability/back-end issues were incorporated into subsequent beta versions and retested.</x:v>
      </x:c>
    </x:row>
    <x:row r="42">
      <x:c r="A42" s="36" t="str">
        <x:v>S41</x:v>
      </x:c>
      <x:c r="B42" s="36" t="str">
        <x:v>S2-027</x:v>
      </x:c>
      <x:c r="C42" s="36" t="str">
        <x:v>S2</x:v>
      </x:c>
      <x:c r="D42" s="36" t="n">
        <x:v>2022</x:v>
      </x:c>
      <x:c r="E42" s="34" t="str">
        <x:v>Agricultural information systems acceptance and continuance in rural communities: A consumption values perspective</x:v>
      </x:c>
      <x:c r="F42" s="34" t="str">
        <x:v>10.1016/j.techsoc.2022.101934</x:v>
      </x:c>
      <x:c r="G42" s="36" t="str">
        <x:v>M</x:v>
      </x:c>
      <x:c r="H42" s="36" t="str">
        <x:v>High</x:v>
      </x:c>
      <x:c r="I42" s="36" t="str">
        <x:v>D</x:v>
      </x:c>
      <x:c r="J42" s="36" t="str">
        <x:v>ND</x:v>
      </x:c>
      <x:c r="K42" s="36" t="str">
        <x:v>D</x:v>
      </x:c>
      <x:c r="L42" s="36" t="str">
        <x:v>ND</x:v>
      </x:c>
      <x:c r="M42" s="36" t="str">
        <x:v>Yes</x:v>
      </x:c>
      <x:c r="N42" s="34" t="str">
        <x:v>I3M</x:v>
      </x:c>
      <x:c r="O42" s="34" t="str">
        <x:v>I3M:P→D</x:v>
      </x:c>
      <x:c r="P42" s="34" t="str">
        <x:v>S2_SCOPUS_027_AIS_Acceptance_Continuance_Rural(1).pdf</x:v>
      </x:c>
      <x:c r="Q42" s="34" t="str">
        <x:v>Mixed theoretical-empirical study using Consumption Values Theory, the IS Continuance Model and FsQCA on 129 rural Ghanaian farmers who had used agricultural information systems. It translates user-context conditions into implementation/support requirements and documents the role of usability, farmer-group/family support and donor/technical support, but it does not reconstruct a bounded application requirement linked to one specific configured AIS capability or a deployment-learning cycle.</x:v>
      </x:c>
    </x:row>
    <x:row r="43">
      <x:c r="A43" s="36" t="str">
        <x:v>S42</x:v>
      </x:c>
      <x:c r="B43" s="36" t="str">
        <x:v>S2-028</x:v>
      </x:c>
      <x:c r="C43" s="36" t="str">
        <x:v>S2</x:v>
      </x:c>
      <x:c r="D43" s="36" t="n">
        <x:v>2026</x:v>
      </x:c>
      <x:c r="E43" s="34" t="str">
        <x:v>Internet of Things-enabled smart irrigation systems for precision water management: A systematic review</x:v>
      </x:c>
      <x:c r="F43" s="34" t="str">
        <x:v>10.1016/j.agwat.2026.110615</x:v>
      </x:c>
      <x:c r="G43" s="36" t="str">
        <x:v>C</x:v>
      </x:c>
      <x:c r="H43" s="36" t="str">
        <x:v>High</x:v>
      </x:c>
      <x:c r="I43" s="36" t="str">
        <x:v>D</x:v>
      </x:c>
      <x:c r="J43" s="36" t="str">
        <x:v>D</x:v>
      </x:c>
      <x:c r="K43" s="36" t="str">
        <x:v>P</x:v>
      </x:c>
      <x:c r="L43" s="36" t="str">
        <x:v>ND</x:v>
      </x:c>
      <x:c r="M43" s="36" t="str">
        <x:v>Yes</x:v>
      </x:c>
      <x:c r="N43" s="34" t="str">
        <x:v>IM1</x:v>
      </x:c>
      <x:c r="O43" s="34" t="str">
        <x:v>IM1:P→ND</x:v>
      </x:c>
      <x:c r="P43" s="34" t="str">
        <x:v>S2_SCOPUS_028_IoT_Smart_Irrigation_Systematic_Review(1).pdf</x:v>
      </x:c>
      <x:c r="Q43" s="34" t="str">
        <x:v>PRISMA systematic review of 50 primary studies on IoT-enabled smart irrigation. It synthesizes deployment conditions, architecture, sensing, communications, DSS logic, quantitative water/yield outcomes and support barriers. The review explicitly reconstructs bounded primary-study examples sufficient for I23=D and a bounded tomato-DSS field example in which severe thermal stress exposed a limitation diagnosed as insufficient heat-stress sensitivity, supporting IM1=P but not a closed change/retest cycle.</x:v>
      </x:c>
    </x:row>
    <x:row r="44">
      <x:c r="A44" s="36" t="str">
        <x:v>S43</x:v>
      </x:c>
      <x:c r="B44" s="36" t="str">
        <x:v>S2-029</x:v>
      </x:c>
      <x:c r="C44" s="36" t="str">
        <x:v>S2</x:v>
      </x:c>
      <x:c r="D44" s="36" t="n">
        <x:v>2019</x:v>
      </x:c>
      <x:c r="E44" s="34" t="str">
        <x:v>Processing and filtering of leaf area index time series assessed by in-situ wireless sensor networks</x:v>
      </x:c>
      <x:c r="F44" s="34" t="str">
        <x:v>10.1016/j.compag.2019.104867</x:v>
      </x:c>
      <x:c r="G44" s="36" t="str">
        <x:v>E</x:v>
      </x:c>
      <x:c r="H44" s="36" t="str">
        <x:v>High</x:v>
      </x:c>
      <x:c r="I44" s="36" t="str">
        <x:v>D</x:v>
      </x:c>
      <x:c r="J44" s="36" t="str">
        <x:v>D</x:v>
      </x:c>
      <x:c r="K44" s="36" t="str">
        <x:v>P</x:v>
      </x:c>
      <x:c r="L44" s="36" t="str">
        <x:v>P</x:v>
      </x:c>
      <x:c r="M44" s="36" t="str">
        <x:v>Yes</x:v>
      </x:c>
      <x:c r="N44" s="34" t="str">
        <x:v>I3M, IM1</x:v>
      </x:c>
      <x:c r="O44" s="34" t="str">
        <x:v>I3M:D→P; IM1:D→P</x:v>
      </x:c>
      <x:c r="P44" s="34" t="str">
        <x:v>S2_SCOPUS_029_LAI_Time_Series_In_Situ_WSN(2).pdf</x:v>
      </x:c>
      <x:c r="Q44" s="34" t="str">
        <x:v>Empirical 74-day field deployment of an 11-node wireless sensor network for continuous LAI monitoring in wheat under contrasting water regimes. The paper develops and evaluates a processing/filtering chain against SunScan reference measurements and documents real field failures in software, power supply and sensor sealing together with corrective actions and subsequent restored data behavior.</x:v>
      </x:c>
    </x:row>
    <x:row r="45">
      <x:c r="A45" s="36" t="str">
        <x:v>S44</x:v>
      </x:c>
      <x:c r="B45" s="36" t="str">
        <x:v>S2-030</x:v>
      </x:c>
      <x:c r="C45" s="36" t="str">
        <x:v>S2</x:v>
      </x:c>
      <x:c r="D45" s="36" t="n">
        <x:v>2024</x:v>
      </x:c>
      <x:c r="E45" s="34" t="str">
        <x:v>Improving decision support systems with machine learning: Identifying barriers to adoption</x:v>
      </x:c>
      <x:c r="F45" s="34" t="str">
        <x:v>10.1002/agj2.21432</x:v>
      </x:c>
      <x:c r="G45" s="36" t="str">
        <x:v>C</x:v>
      </x:c>
      <x:c r="H45" s="36" t="str">
        <x:v>High</x:v>
      </x:c>
      <x:c r="I45" s="36" t="str">
        <x:v>D</x:v>
      </x:c>
      <x:c r="J45" s="36" t="str">
        <x:v>D</x:v>
      </x:c>
      <x:c r="K45" s="36" t="str">
        <x:v>P</x:v>
      </x:c>
      <x:c r="L45" s="36" t="str">
        <x:v>P</x:v>
      </x:c>
      <x:c r="M45" s="36" t="str">
        <x:v>Yes</x:v>
      </x:c>
      <x:c r="N45" s="34" t="str">
        <x:v>I3M</x:v>
      </x:c>
      <x:c r="O45" s="34" t="str">
        <x:v>No change</x:v>
      </x:c>
      <x:c r="P45" s="34" t="str">
        <x:v>S2_SCOPUS_030_DSS_Machine_Learning_Barriers_Adoption(2).pdf</x:v>
      </x:c>
      <x:c r="Q45" s="34" t="str">
        <x:v>Forum/synthesis article on barriers to sustained DSS adoption in precision agriculture. It translates financial, trust, data-governance and workforce constraints into implementation requirements and reconstructs bounded successful and unsuccessful DSS cases. Vite.net supports a complete I23 chain, while the FEEDMAN case provides an operational abandonment/failure event with an explicit causal interpretation but no documented diagnosis-driven modification and retest.</x:v>
      </x:c>
    </x:row>
    <x:row r="46">
      <x:c r="A46" s="36" t="str">
        <x:v>S45</x:v>
      </x:c>
      <x:c r="B46" s="36" t="str">
        <x:v>S2-031</x:v>
      </x:c>
      <x:c r="C46" s="36" t="str">
        <x:v>S2</x:v>
      </x:c>
      <x:c r="D46" s="36" t="n">
        <x:v>2026</x:v>
      </x:c>
      <x:c r="E46" s="34" t="str">
        <x:v>Agricultural digital twin for smart farming: A review</x:v>
      </x:c>
      <x:c r="F46" s="34" t="str">
        <x:v>10.1016/j.grets.2025.100299</x:v>
      </x:c>
      <x:c r="G46" s="36" t="str">
        <x:v>C</x:v>
      </x:c>
      <x:c r="H46" s="36" t="str">
        <x:v>High</x:v>
      </x:c>
      <x:c r="I46" s="36" t="str">
        <x:v>D</x:v>
      </x:c>
      <x:c r="J46" s="36" t="str">
        <x:v>D</x:v>
      </x:c>
      <x:c r="K46" s="36" t="str">
        <x:v>D</x:v>
      </x:c>
      <x:c r="L46" s="36" t="str">
        <x:v>ND</x:v>
      </x:c>
      <x:c r="M46" s="36" t="str">
        <x:v>No</x:v>
      </x:c>
      <x:c r="N46" s="34" t="str"/>
      <x:c r="O46" s="34" t="str">
        <x:v>No change</x:v>
      </x:c>
      <x:c r="P46" s="34" t="str">
        <x:v>S2_SCOPUS_031_Agricultural_Digital_Twin_Review(1).pdf</x:v>
      </x:c>
      <x:c r="Q46" s="34" t="str">
        <x:v>Comprehensive review of agricultural digital twins, enabling technologies, application areas and implementation challenges. It directly maps latency, connectivity, lifecycle, cost and interoperability conditions to technical/support requirements. Under the frozen v1.3 I23 clarification, the review also reconstructs a bounded Li et al. subsoiling example containing a specific operational problem, configured DT capability, field/indoor evaluation and criterion-linked results; lifecycle/vendor-support evidence closes I3M, while routine DT feedback is not IM1.</x:v>
      </x:c>
    </x:row>
    <x:row r="47">
      <x:c r="A47" s="36" t="str">
        <x:v>S46</x:v>
      </x:c>
      <x:c r="B47" s="36" t="str">
        <x:v>S2-033</x:v>
      </x:c>
      <x:c r="C47" s="36" t="str">
        <x:v>S2</x:v>
      </x:c>
      <x:c r="D47" s="36" t="n">
        <x:v>2026</x:v>
      </x:c>
      <x:c r="E47" s="34" t="str">
        <x:v>IoT-Based Precision Irrigation System Featuring Multi-Sensor Monitoring and Scheduled Automated Water-Control Gates for Rice Production</x:v>
      </x:c>
      <x:c r="F47" s="34" t="str">
        <x:v>10.3390/s26092692</x:v>
      </x:c>
      <x:c r="G47" s="36" t="str">
        <x:v>E</x:v>
      </x:c>
      <x:c r="H47" s="36" t="str">
        <x:v>High</x:v>
      </x:c>
      <x:c r="I47" s="36" t="str">
        <x:v>D</x:v>
      </x:c>
      <x:c r="J47" s="36" t="str">
        <x:v>D</x:v>
      </x:c>
      <x:c r="K47" s="36" t="str">
        <x:v>P</x:v>
      </x:c>
      <x:c r="L47" s="36" t="str">
        <x:v>P</x:v>
      </x:c>
      <x:c r="M47" s="36" t="str">
        <x:v>Yes</x:v>
      </x:c>
      <x:c r="N47" s="34" t="str">
        <x:v>I3M, IM1</x:v>
      </x:c>
      <x:c r="O47" s="34" t="str">
        <x:v>I3M:D→P; IM1:ND→P</x:v>
      </x:c>
      <x:c r="P47" s="34" t="str">
        <x:v>S2_SCOPUS_033_IoT_Precision_Irrigation_Rice(1).pdf</x:v>
      </x:c>
      <x:c r="Q47" s="34" t="str">
        <x:v>Empirical 100-day field deployment of a multi-plot IoT AWD irrigation system for rice. The configured system integrates calibrated soil-moisture and water-level sensing, Arduino controllers, GSM/GPRS communication, automatic plot gates and a centralized pump. It directly tests agronomic/resource outcomes and operational continuity, including temporary GPRS failures, a pre-existing 30-s GSM reset mechanism, 210/210 successful SMS commands and 100% gate-operation success.</x:v>
      </x:c>
    </x:row>
    <x:row r="48">
      <x:c r="A48" s="36" t="str">
        <x:v>S47</x:v>
      </x:c>
      <x:c r="B48" s="36" t="str">
        <x:v>S2-034</x:v>
      </x:c>
      <x:c r="C48" s="36" t="str">
        <x:v>S2</x:v>
      </x:c>
      <x:c r="D48" s="36" t="n">
        <x:v>2025</x:v>
      </x:c>
      <x:c r="E48" s="34" t="str">
        <x:v>Internet of Things-Based Smart Precision Farming in Soilless Agriculture: Opportunities and Challenges for Global Food Security</x:v>
      </x:c>
      <x:c r="F48" s="34" t="str">
        <x:v>10.1109/ACCESS.2025.3540317</x:v>
      </x:c>
      <x:c r="G48" s="36" t="str">
        <x:v>C</x:v>
      </x:c>
      <x:c r="H48" s="36" t="str">
        <x:v>High</x:v>
      </x:c>
      <x:c r="I48" s="36" t="str">
        <x:v>D</x:v>
      </x:c>
      <x:c r="J48" s="36" t="str">
        <x:v>D</x:v>
      </x:c>
      <x:c r="K48" s="36" t="str">
        <x:v>P</x:v>
      </x:c>
      <x:c r="L48" s="36" t="str">
        <x:v>ND</x:v>
      </x:c>
      <x:c r="M48" s="36" t="str">
        <x:v>No</x:v>
      </x:c>
      <x:c r="N48" s="34" t="str"/>
      <x:c r="O48" s="34" t="str">
        <x:v>No change</x:v>
      </x:c>
      <x:c r="P48" s="34" t="str">
        <x:v>S2_SCOPUS_034_IoT_Soilless_Agriculture_Review(1).pdf</x:v>
      </x:c>
      <x:c r="Q48" s="34" t="str">
        <x:v>Comprehensive review and bibliometric/comparative synthesis of IoT-enabled soilless agriculture. It directly maps crop, nutrient, energy, maintenance and skill constraints to monitoring, actuation and support requirements. Under the frozen v1.3 review/bounded-subexample rule, the review explicitly reconstructs a smart greenhouse/hydroponic-aeroponic example tested on Batavia lettuce with automatic environmental control and quantified water, energy, productivity and cultivation-time outcomes, supporting I23=D.</x:v>
      </x:c>
    </x:row>
    <x:row r="49">
      <x:c r="A49" s="36" t="str">
        <x:v>S48</x:v>
      </x:c>
      <x:c r="B49" s="36" t="str">
        <x:v>S2-036</x:v>
      </x:c>
      <x:c r="C49" s="36" t="str">
        <x:v>S2</x:v>
      </x:c>
      <x:c r="D49" s="36" t="n">
        <x:v>2024</x:v>
      </x:c>
      <x:c r="E49" s="34" t="str">
        <x:v>Powering Agriculture IoT Sensors Using Natural Temperature Differences Between Air and Soil: Measurement and Evaluation</x:v>
      </x:c>
      <x:c r="F49" s="34" t="str">
        <x:v>10.3390/s24237687</x:v>
      </x:c>
      <x:c r="G49" s="36" t="str">
        <x:v>E</x:v>
      </x:c>
      <x:c r="H49" s="36" t="str">
        <x:v>High</x:v>
      </x:c>
      <x:c r="I49" s="36" t="str">
        <x:v>D</x:v>
      </x:c>
      <x:c r="J49" s="36" t="str">
        <x:v>D</x:v>
      </x:c>
      <x:c r="K49" s="36" t="str">
        <x:v>P</x:v>
      </x:c>
      <x:c r="L49" s="36" t="str">
        <x:v>P</x:v>
      </x:c>
      <x:c r="M49" s="36" t="str">
        <x:v>Yes</x:v>
      </x:c>
      <x:c r="N49" s="34" t="str">
        <x:v>I23, IM1</x:v>
      </x:c>
      <x:c r="O49" s="34" t="str">
        <x:v>I23:P→D; IM1:ND→P</x:v>
      </x:c>
      <x:c r="P49" s="34" t="str">
        <x:v>S2_SCOPUS_036_Powering_Agriculture_IoT_Sensors(1).pdf</x:v>
      </x:c>
      <x:c r="Q49" s="34" t="str">
        <x:v>Empirical 12-month field evaluation of a thermoelectric energy-harvesting prototype intended to power agricultural IoT sensor nodes. The study measures raw TEG energy and models post-DC/DC usable energy, then compares the available energy with published WSN transaction budgets. It documents winter voltage limitations and environmental exposure risks, but no actual WSN link was integrated and proposed redesigns remained future work.</x:v>
      </x:c>
    </x:row>
  </x:sheetData>
  <x:conditionalFormatting sqref="I2:I49">
    <x:cfRule type="expression" dxfId="0" priority="1">
      <x:formula>I2="D"</x:formula>
    </x:cfRule>
    <x:cfRule type="expression" dxfId="1" priority="2">
      <x:formula>I2="P"</x:formula>
    </x:cfRule>
    <x:cfRule type="expression" dxfId="2" priority="3">
      <x:formula>I2="ND"</x:formula>
    </x:cfRule>
  </x:conditionalFormatting>
  <x:conditionalFormatting sqref="J2:J49">
    <x:cfRule type="expression" dxfId="3" priority="4">
      <x:formula>J2="D"</x:formula>
    </x:cfRule>
    <x:cfRule type="expression" dxfId="4" priority="5">
      <x:formula>J2="P"</x:formula>
    </x:cfRule>
    <x:cfRule type="expression" dxfId="5" priority="6">
      <x:formula>J2="ND"</x:formula>
    </x:cfRule>
  </x:conditionalFormatting>
  <x:conditionalFormatting sqref="K2:K49">
    <x:cfRule type="expression" dxfId="6" priority="7">
      <x:formula>K2="D"</x:formula>
    </x:cfRule>
    <x:cfRule type="expression" dxfId="7" priority="8">
      <x:formula>K2="P"</x:formula>
    </x:cfRule>
    <x:cfRule type="expression" dxfId="8" priority="9">
      <x:formula>K2="ND"</x:formula>
    </x:cfRule>
  </x:conditionalFormatting>
  <x:conditionalFormatting sqref="L2:L49">
    <x:cfRule type="expression" dxfId="9" priority="10">
      <x:formula>L2="D"</x:formula>
    </x:cfRule>
    <x:cfRule type="expression" dxfId="10" priority="11">
      <x:formula>L2="P"</x:formula>
    </x:cfRule>
    <x:cfRule type="expression" dxfId="11" priority="12">
      <x:formula>L2="ND"</x:formula>
    </x:cfRule>
  </x:conditionalFormatting>
  <x:conditionalFormatting sqref="M2:M49">
    <x:cfRule type="expression" dxfId="12" priority="13">
      <x:formula>M2="Yes"</x:formula>
    </x:cfRule>
  </x:conditionalFormatting>
  <x:pageMargins left="0.7" right="0.7" top="0.75" bottom="0.75" header="0.3" footer="0.3"/>
  <x:tableParts count="1">
    <x:tablePart xmlns:r="http://schemas.openxmlformats.org/officeDocument/2006/relationships" r:id="R99898bc5b3d445b6"/>
  </x:tableParts>
</x:worksheet>
</file>