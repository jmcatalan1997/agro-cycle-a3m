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5eca489b8d4ce5" /></Relationships>
</file>

<file path=xl/workbook.xml><?xml version="1.0" encoding="utf-8"?>
<x:workbook xmlns:x="http://schemas.openxmlformats.org/spreadsheetml/2006/main">
  <x:sheets>
    <x:sheet xmlns:r="http://schemas.openxmlformats.org/officeDocument/2006/relationships" name="README_FINAL" sheetId="1" r:id="R8a996b8f81984f63"/>
    <x:sheet xmlns:r="http://schemas.openxmlformats.org/officeDocument/2006/relationships" name="Base_48_v1.3" sheetId="2" r:id="R3b29e954efc24187"/>
    <x:sheet xmlns:r="http://schemas.openxmlformats.org/officeDocument/2006/relationships" name="Table_II_final_v1.3" sheetId="3" r:id="R3d751a8489ad4d0e"/>
    <x:sheet xmlns:r="http://schemas.openxmlformats.org/officeDocument/2006/relationships" name="Evidence_basis" sheetId="4" r:id="R8e0035fcba994527"/>
    <x:sheet xmlns:r="http://schemas.openxmlformats.org/officeDocument/2006/relationships" name="Change_analysis" sheetId="5" r:id="R2f0adb8755ad470b"/>
    <x:sheet xmlns:r="http://schemas.openxmlformats.org/officeDocument/2006/relationships" name="Reliability_history" sheetId="6" r:id="R77aa4170db0d4e8a"/>
    <x:sheet xmlns:r="http://schemas.openxmlformats.org/officeDocument/2006/relationships" name="Synthesis_dashboard" sheetId="7" r:id="R48494910fbca4cd2"/>
    <x:sheet xmlns:r="http://schemas.openxmlformats.org/officeDocument/2006/relationships" name="Claims_v1.3" sheetId="8" r:id="R98aacbbce63b4f9f"/>
    <x:sheet xmlns:r="http://schemas.openxmlformats.org/officeDocument/2006/relationships" name="Manuscript_results" sheetId="9" r:id="R0c29f7d592ea49e7"/>
    <x:sheet xmlns:r="http://schemas.openxmlformats.org/officeDocument/2006/relationships" name="Paper_update_map" sheetId="10" r:id="Rcbf164ad066843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4"/>
      <x:color rgb="FFFFFFFF"/>
      <x:name val="Carlito"/>
    </x:font>
    <x:font>
      <x:b/>
      <x:sz val="11"/>
      <x:color rgb="FF7F6000"/>
      <x:name val="Carlito"/>
    </x:font>
    <x:font>
      <x:b/>
      <x:sz val="11"/>
      <x:color rgb="FFFFFFFF"/>
      <x:name val="Carlito"/>
    </x:font>
    <x:font>
      <x:b/>
      <x:sz val="11"/>
      <x:color rgb="FF17365D"/>
      <x:name val="Carlito"/>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5B9BD5"/>
      </x:patternFill>
    </x:fill>
    <x:fill>
      <x:patternFill patternType="solid">
        <x:fgColor rgb="FFD9EAF7"/>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4" borderId="1" xfId="0" applyNumberFormat="1" applyFont="1" applyFill="1" applyBorder="1" applyAlignment="1">
      <x:alignment vertical="top" wrapText="1"/>
    </x:xf>
    <x:xf numFmtId="0" fontId="0" fillId="4"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vertical="top"/>
    </x:xf>
  </x:cellXfs>
  <x:cellStyles count="1">
    <x:cellStyle name="Normal" xfId="0"/>
  </x:cellStyles>
  <x:dxfs count="12">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2dcfe9878b4b1b" /><Relationship Type="http://schemas.openxmlformats.org/officeDocument/2006/relationships/theme" Target="/xl/theme/theme1.xml" Id="R605e37f4f1c9468b" /><Relationship Type="http://schemas.openxmlformats.org/officeDocument/2006/relationships/sharedStrings" Target="/xl/sharedStrings.xml" Id="R373409ba17784e2c" /><Relationship Type="http://schemas.openxmlformats.org/officeDocument/2006/relationships/worksheet" Target="/xl/worksheets/sheet1.xml" Id="R8a996b8f81984f63" /><Relationship Type="http://schemas.openxmlformats.org/officeDocument/2006/relationships/worksheet" Target="/xl/worksheets/sheet2.xml" Id="R3b29e954efc24187" /><Relationship Type="http://schemas.openxmlformats.org/officeDocument/2006/relationships/worksheet" Target="/xl/worksheets/sheet3.xml" Id="R3d751a8489ad4d0e" /><Relationship Type="http://schemas.openxmlformats.org/officeDocument/2006/relationships/worksheet" Target="/xl/worksheets/sheet4.xml" Id="R8e0035fcba994527" /><Relationship Type="http://schemas.openxmlformats.org/officeDocument/2006/relationships/worksheet" Target="/xl/worksheets/sheet5.xml" Id="R2f0adb8755ad470b" /><Relationship Type="http://schemas.openxmlformats.org/officeDocument/2006/relationships/worksheet" Target="/xl/worksheets/sheet6.xml" Id="R77aa4170db0d4e8a" /><Relationship Type="http://schemas.openxmlformats.org/officeDocument/2006/relationships/worksheet" Target="/xl/worksheets/sheet7.xml" Id="R48494910fbca4cd2" /><Relationship Type="http://schemas.openxmlformats.org/officeDocument/2006/relationships/worksheet" Target="/xl/worksheets/sheet8.xml" Id="R98aacbbce63b4f9f" /><Relationship Type="http://schemas.openxmlformats.org/officeDocument/2006/relationships/worksheet" Target="/xl/worksheets/sheet9.xml" Id="R0c29f7d592ea49e7" /><Relationship Type="http://schemas.openxmlformats.org/officeDocument/2006/relationships/worksheet" Target="/xl/worksheets/sheet10.xml" Id="Rcbf164ad0668433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04c030c7194e2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Direct-documentation rate (D) by interface and corpus</a:t>
            </a:r>
          </a:p>
        </c:rich>
      </c:tx>
    </c:title>
    <c:plotArea>
      <c:barChart>
        <c:barDir val="col"/>
        <c:grouping val="clustered"/>
        <c:varyColors val="0"/>
        <c:ser>
          <c:idx val="0"/>
          <c:order val="0"/>
          <c:tx>
            <c:v>I12 D%</c:v>
          </c:tx>
          <c:cat>
            <c:strRef>
              <c:f>'Synthesis_dashboard'!$G$15:$G$17</c:f>
              <c:strCache>
                <c:ptCount val="0"/>
              </c:strCache>
            </c:strRef>
          </c:cat>
          <c:val>
            <c:numRef>
              <c:f>'Synthesis_dashboard'!$H$15:$H$17</c:f>
              <c:numCache>
                <c:formatCode>0.0%</c:formatCode>
                <c:ptCount val="0"/>
              </c:numCache>
            </c:numRef>
          </c:val>
        </c:ser>
        <c:ser>
          <c:idx val="1"/>
          <c:order val="1"/>
          <c:tx>
            <c:v>I23 D%</c:v>
          </c:tx>
          <c:cat>
            <c:strRef>
              <c:f>'Synthesis_dashboard'!$G$15:$G$17</c:f>
              <c:strCache>
                <c:ptCount val="0"/>
              </c:strCache>
            </c:strRef>
          </c:cat>
          <c:val>
            <c:numRef>
              <c:f>'Synthesis_dashboard'!$I$15:$I$17</c:f>
              <c:numCache>
                <c:formatCode>0.0%</c:formatCode>
                <c:ptCount val="0"/>
              </c:numCache>
            </c:numRef>
          </c:val>
        </c:ser>
        <c:ser>
          <c:idx val="2"/>
          <c:order val="2"/>
          <c:tx>
            <c:v>I3M D%</c:v>
          </c:tx>
          <c:cat>
            <c:strRef>
              <c:f>'Synthesis_dashboard'!$G$15:$G$17</c:f>
              <c:strCache>
                <c:ptCount val="0"/>
              </c:strCache>
            </c:strRef>
          </c:cat>
          <c:val>
            <c:numRef>
              <c:f>'Synthesis_dashboard'!$J$15:$J$17</c:f>
              <c:numCache>
                <c:formatCode>0.0%</c:formatCode>
                <c:ptCount val="0"/>
              </c:numCache>
            </c:numRef>
          </c:val>
        </c:ser>
        <c:ser>
          <c:idx val="3"/>
          <c:order val="3"/>
          <c:tx>
            <c:v>IM1 D%</c:v>
          </c:tx>
          <c:cat>
            <c:strRef>
              <c:f>'Synthesis_dashboard'!$G$15:$G$17</c:f>
              <c:strCache>
                <c:ptCount val="0"/>
              </c:strCache>
            </c:strRef>
          </c:cat>
          <c:val>
            <c:numRef>
              <c:f>'Synthesis_dashboard'!$K$15:$K$17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11</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04c030c7194e2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eec29a4f2d5a4611" /></Relationships>
</file>

<file path=xl/worksheets/sheet1.xml><?xml version="1.0" encoding="utf-8"?>
<x:worksheet xmlns:x="http://schemas.openxmlformats.org/spreadsheetml/2006/main">
  <x:sheetFormatPr defaultRowHeight="15"/>
  <x:cols>
    <x:col min="1" max="1" width="26" hidden="0" customWidth="1"/>
    <x:col min="2" max="2" width="105" hidden="0" customWidth="1"/>
  </x:cols>
  <x:sheetData>
    <x:row r="1">
      <x:c r="A1" s="6" t="str">
        <x:v>A3M — FINAL INTEGRATED EVIDENCE SYNTHESIS — Codebook v1.3 FINAL-FROZEN</x:v>
      </x:c>
      <x:c r="B1" s="6"/>
      <x:c r="C1" s="6"/>
      <x:c r="D1" s="6"/>
      <x:c r="E1" s="6"/>
      <x:c r="F1" s="6"/>
    </x:row>
    <x:row r="2">
      <x:c r="A2" s="14" t="str">
        <x:v>Canonical synthesis generated from the verified 48-study final recoding master. Use this workbook for manuscript tables, results, claims, and update tracking; use the recoding master for source-level evidence reconstruction.</x:v>
      </x:c>
      <x:c r="B2" s="14"/>
      <x:c r="C2" s="14"/>
      <x:c r="D2" s="14"/>
      <x:c r="E2" s="14"/>
      <x:c r="F2" s="14"/>
    </x:row>
    <x:row r="4">
      <x:c r="A4" s="22" t="str">
        <x:v>Item</x:v>
      </x:c>
      <x:c r="B4" s="22" t="str">
        <x:v>Final statement / use rule</x:v>
      </x:c>
    </x:row>
    <x:row r="5">
      <x:c r="A5" s="31" t="str">
        <x:v>Source master</x:v>
      </x:c>
      <x:c r="B5" s="36" t="str">
        <x:v>A3M_v1.3_FINAL_RECODING_COMPLETE_48of48_S1_29of29_S2_19of19_Batch16_2026-08-20.xlsx</x:v>
      </x:c>
    </x:row>
    <x:row r="6">
      <x:c r="A6" s="31" t="str">
        <x:v>Corpus</x:v>
      </x:c>
      <x:c r="B6" s="36" t="str">
        <x:v>48 unique included publications: 29 S1 + 19 S2. S1 and S2 are complementary structured searches; do not merge them into one PRISMA denominator.</x:v>
      </x:c>
    </x:row>
    <x:row r="7">
      <x:c r="A7" s="31" t="str">
        <x:v>Coding unit</x:v>
      </x:c>
      <x:c r="B7" s="36" t="str">
        <x:v>Publication-level documentation of four A3M interfaces for a bounded deployment/example where required by the Codebook.</x:v>
      </x:c>
    </x:row>
    <x:row r="8">
      <x:c r="A8" s="31" t="str">
        <x:v>D / P / ND</x:v>
      </x:c>
      <x:c r="B8" s="36" t="str">
        <x:v>Documentation traceability/completeness only. D/P/ND do NOT mean success/failure, mechanism presence/absence, SAT/GAP/UNC/NA, or causal validation of A3M.</x:v>
      </x:c>
    </x:row>
    <x:row r="9">
      <x:c r="A9" s="31" t="str">
        <x:v>Evidence basis</x:v>
      </x:c>
      <x:c r="B9" s="36" t="str">
        <x:v>C = conceptual/normative; M = mixed; E = empirical/deployment. This is independent of D/P/ND.</x:v>
      </x:c>
    </x:row>
    <x:row r="10">
      <x:c r="A10" s="31" t="str">
        <x:v>Final Codebook</x:v>
      </x:c>
      <x:c r="B10" s="36" t="str">
        <x:v>v1.3 FINAL-FROZEN. v1.3 minimally clarified I23 after the residual AUD4 disagreement pattern; the stricter IM1 boundary introduced in v1.2 is retained.</x:v>
      </x:c>
    </x:row>
    <x:row r="11">
      <x:c r="A11" s="31" t="str">
        <x:v>Final recoding</x:v>
      </x:c>
      <x:c r="B11" s="36" t="str">
        <x:v>48/48 studies; 192/192 interface decisions; all final evidence-completion checks passed.</x:v>
      </x:c>
    </x:row>
    <x:row r="12">
      <x:c r="A12" s="31" t="str">
        <x:v>Interpretation</x:v>
      </x:c>
      <x:c r="B12" s="36" t="str">
        <x:v>Counts are descriptive of the selected corpora. They are not literature-prevalence estimates, meta-analytic weights, or evidence of necessity/sufficiency.</x:v>
      </x:c>
    </x:row>
    <x:row r="13">
      <x:c r="A13" s="31" t="str">
        <x:v>Primary pattern</x:v>
      </x:c>
      <x:c r="B13" s="36" t="str">
        <x:v>Documentation completeness is highest for I12, more selective for I23 and I3M, and lowest for closed operational learning (IM1).</x:v>
      </x:c>
    </x:row>
    <x:row r="14">
      <x:c r="A14" s="31" t="str">
        <x:v>Manuscript rule</x:v>
      </x:c>
      <x:c r="B14" s="36" t="str">
        <x:v>Report final v1.3 counts only. Reliability statistics remain tied to the audit version under which they were observed; do not label AUD4 κ=0.811 as v1.3 reliability.</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9" hidden="0" customWidth="1"/>
    <x:col min="3" max="3" width="8" hidden="0" customWidth="1"/>
    <x:col min="4" max="4" width="52" hidden="0" customWidth="1"/>
    <x:col min="5" max="5" width="28" hidden="0" customWidth="1"/>
    <x:col min="6" max="6" width="16" hidden="0" customWidth="1"/>
    <x:col min="7" max="7" width="18"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30" hidden="0" customWidth="1"/>
    <x:col min="17" max="17" width="48" hidden="0" customWidth="1"/>
    <x:col min="18" max="18" width="80" hidden="0" customWidth="1"/>
  </x:cols>
  <x:sheetData>
    <x:row r="1">
      <x:c r="A1" s="6" t="str">
        <x:v>A3M v1.3 FINAL — 48-study integrated analytical base</x:v>
      </x:c>
      <x:c r="B1" s="6"/>
      <x:c r="C1" s="6"/>
      <x:c r="D1" s="6"/>
      <x:c r="E1" s="6"/>
      <x:c r="F1" s="6"/>
      <x:c r="G1" s="6"/>
      <x:c r="H1" s="6"/>
      <x:c r="I1" s="6"/>
      <x:c r="J1" s="6"/>
      <x:c r="K1" s="6"/>
      <x:c r="L1" s="6"/>
      <x:c r="M1" s="6"/>
      <x:c r="N1" s="6"/>
      <x:c r="O1" s="6"/>
      <x:c r="P1" s="6"/>
      <x:c r="Q1" s="6"/>
      <x:c r="R1" s="6"/>
    </x:row>
    <x:row r="3">
      <x:c r="A3" s="22" t="str">
        <x:v>ID</x:v>
      </x:c>
      <x:c r="B3" s="22" t="str">
        <x:v>Corpus</x:v>
      </x:c>
      <x:c r="C3" s="22" t="str">
        <x:v>Year</x:v>
      </x:c>
      <x:c r="D3" s="22" t="str">
        <x:v>Title</x:v>
      </x:c>
      <x:c r="E3" s="22" t="str">
        <x:v>DOI</x:v>
      </x:c>
      <x:c r="F3" s="22" t="str">
        <x:v>Evidence_basis</x:v>
      </x:c>
      <x:c r="G3" s="22" t="str">
        <x:v>Study_confidence</x:v>
      </x:c>
      <x:c r="H3" s="22" t="str">
        <x:v>I12_v1.1</x:v>
      </x:c>
      <x:c r="I3" s="22" t="str">
        <x:v>I12_v1.3</x:v>
      </x:c>
      <x:c r="J3" s="22" t="str">
        <x:v>I23_v1.1</x:v>
      </x:c>
      <x:c r="K3" s="22" t="str">
        <x:v>I23_v1.3</x:v>
      </x:c>
      <x:c r="L3" s="22" t="str">
        <x:v>I3M_v1.1</x:v>
      </x:c>
      <x:c r="M3" s="22" t="str">
        <x:v>I3M_v1.3</x:v>
      </x:c>
      <x:c r="N3" s="22" t="str">
        <x:v>IM1_v1.1</x:v>
      </x:c>
      <x:c r="O3" s="22" t="str">
        <x:v>IM1_v1.3</x:v>
      </x:c>
      <x:c r="P3" s="22" t="str">
        <x:v>Changed_interfaces</x:v>
      </x:c>
      <x:c r="Q3" s="22" t="str">
        <x:v>Source_file</x:v>
      </x:c>
      <x:c r="R3" s="22" t="str">
        <x:v>Article_notes</x:v>
      </x:c>
    </x:row>
    <x:row r="4">
      <x:c r="A4" s="36" t="str">
        <x:v>S1-007</x:v>
      </x:c>
      <x:c r="B4" s="36" t="str">
        <x:v>S1</x:v>
      </x:c>
      <x:c r="C4" s="36" t="n">
        <x:v>2025</x:v>
      </x:c>
      <x:c r="D4" s="36" t="str">
        <x:v>An internet of things adoption framework for the South African farming industry</x:v>
      </x:c>
      <x:c r="E4" s="36" t="str">
        <x:v>10.48009/4_iis_2025_129</x:v>
      </x:c>
      <x:c r="F4" s="36" t="str">
        <x:v>C</x:v>
      </x:c>
      <x:c r="G4" s="36" t="str">
        <x:v>High</x:v>
      </x:c>
      <x:c r="H4" s="36" t="str">
        <x:v>D</x:v>
      </x:c>
      <x:c r="I4" s="36" t="str">
        <x:v>D</x:v>
      </x:c>
      <x:c r="J4" s="36" t="str">
        <x:v>P</x:v>
      </x:c>
      <x:c r="K4" s="36" t="str">
        <x:v>ND</x:v>
      </x:c>
      <x:c r="L4" s="36" t="str">
        <x:v>P</x:v>
      </x:c>
      <x:c r="M4" s="36" t="str">
        <x:v>P</x:v>
      </x:c>
      <x:c r="N4" s="36" t="str">
        <x:v>ND</x:v>
      </x:c>
      <x:c r="O4" s="36" t="str">
        <x:v>ND</x:v>
      </x:c>
      <x:c r="P4" s="36" t="str">
        <x:v>I23:P→ND</x:v>
      </x:c>
      <x:c r="Q4" s="36" t="str">
        <x:v>S1_SCOPUS_ID007_IoT_Adoption_Framework_South_African_Farming(2).pdf</x:v>
      </x:c>
      <x:c r="R4" s="36" t="str">
        <x:v>PRISMA-ScR systematic scoping review of 15 studies that develops a South-Africa-specific IoT adoption framework. No original bounded IoT deployment or framework validation is reported.</x:v>
      </x:c>
    </x:row>
    <x:row r="5">
      <x:c r="A5" s="36" t="str">
        <x:v>S1-009</x:v>
      </x:c>
      <x:c r="B5" s="36" t="str">
        <x:v>S1</x:v>
      </x:c>
      <x:c r="C5" s="36" t="n">
        <x:v>2025</x:v>
      </x:c>
      <x:c r="D5" s="36" t="str">
        <x:v>Examining the factors influencing the digital transformation of new agricultural operating entities: insights from Zhejiang, China</x:v>
      </x:c>
      <x:c r="E5" s="36" t="str">
        <x:v>10.1057/s41599-025-04949-y</x:v>
      </x:c>
      <x:c r="F5" s="36" t="str">
        <x:v>E</x:v>
      </x:c>
      <x:c r="G5" s="36" t="str">
        <x:v>High</x:v>
      </x:c>
      <x:c r="H5" s="36" t="str">
        <x:v>D</x:v>
      </x:c>
      <x:c r="I5" s="36" t="str">
        <x:v>D</x:v>
      </x:c>
      <x:c r="J5" s="36" t="str">
        <x:v>D</x:v>
      </x:c>
      <x:c r="K5" s="36" t="str">
        <x:v>D</x:v>
      </x:c>
      <x:c r="L5" s="36" t="str">
        <x:v>P</x:v>
      </x:c>
      <x:c r="M5" s="36" t="str">
        <x:v>P</x:v>
      </x:c>
      <x:c r="N5" s="36" t="str">
        <x:v>P</x:v>
      </x:c>
      <x:c r="O5" s="36" t="str">
        <x:v>ND</x:v>
      </x:c>
      <x:c r="P5" s="36" t="str">
        <x:v>IM1:P→ND</x:v>
      </x:c>
      <x:c r="Q5" s="36" t="str">
        <x:v>S1_SCOPUS_ID009_Digital_Transformation_NAOEs_Zhejiang(2).pdf</x:v>
      </x:c>
      <x:c r="R5" s="36" t="str">
        <x:v>Empirical multi-case study of 40 NAOEs using interviews, questionnaires, direct observation, secondary data and fsQCA. Contains bounded farm-level technology examples inside a broader organizational digital-transformation analysis.</x:v>
      </x:c>
    </x:row>
    <x:row r="6">
      <x:c r="A6" s="36" t="str">
        <x:v>S1-012</x:v>
      </x:c>
      <x:c r="B6" s="36" t="str">
        <x:v>S1</x:v>
      </x:c>
      <x:c r="C6" s="36" t="n">
        <x:v>2026</x:v>
      </x:c>
      <x:c r="D6" s="36" t="str">
        <x:v>What drives the digital transformation of farmers’ cooperatives? An empirical analysis based on the TOE framework</x:v>
      </x:c>
      <x:c r="E6" s="36" t="str">
        <x:v>10.1186/s40100-026-00453-2</x:v>
      </x:c>
      <x:c r="F6" s="36" t="str">
        <x:v>M</x:v>
      </x:c>
      <x:c r="G6" s="36" t="str">
        <x:v>High</x:v>
      </x:c>
      <x:c r="H6" s="36" t="str">
        <x:v>D</x:v>
      </x:c>
      <x:c r="I6" s="36" t="str">
        <x:v>D</x:v>
      </x:c>
      <x:c r="J6" s="36" t="str">
        <x:v>P</x:v>
      </x:c>
      <x:c r="K6" s="36" t="str">
        <x:v>ND</x:v>
      </x:c>
      <x:c r="L6" s="36" t="str">
        <x:v>P</x:v>
      </x:c>
      <x:c r="M6" s="36" t="str">
        <x:v>P</x:v>
      </x:c>
      <x:c r="N6" s="36" t="str">
        <x:v>ND</x:v>
      </x:c>
      <x:c r="O6" s="36" t="str">
        <x:v>ND</x:v>
      </x:c>
      <x:c r="P6" s="36" t="str">
        <x:v>I23:P→ND</x:v>
      </x:c>
      <x:c r="Q6" s="36" t="str">
        <x:v>S1_SCOPUS_ID012_TOE_Digital_Transformation_Farmers_Cooperatives(2).pdf</x:v>
      </x:c>
      <x:c r="R6" s="36" t="str">
        <x:v>Mixed empirical/modeling study: TOE-based system dynamics informed by literature, field investigation in Zhejiang, 93 valid questionnaires, 37 chairperson interviews and expert elicitation. The principal evaluated object is organizational digital-transformation dynamics.</x:v>
      </x:c>
    </x:row>
    <x:row r="7">
      <x:c r="A7" s="36" t="str">
        <x:v>S1-014</x:v>
      </x:c>
      <x:c r="B7" s="36" t="str">
        <x:v>S1</x:v>
      </x:c>
      <x:c r="C7" s="36" t="n">
        <x:v>2022</x:v>
      </x:c>
      <x:c r="D7" s="36" t="str">
        <x:v>Knowledge Transfer on Digital Transformation: An Analysis of the Olive Landscape in Andalusia, Spain</x:v>
      </x:c>
      <x:c r="E7" s="36" t="str">
        <x:v>10.3390/land11010063</x:v>
      </x:c>
      <x:c r="F7" s="36" t="str">
        <x:v>E</x:v>
      </x:c>
      <x:c r="G7" s="36" t="str">
        <x:v>High</x:v>
      </x:c>
      <x:c r="H7" s="36" t="str">
        <x:v>P</x:v>
      </x:c>
      <x:c r="I7" s="36" t="str">
        <x:v>P</x:v>
      </x:c>
      <x:c r="J7" s="36" t="str">
        <x:v>P</x:v>
      </x:c>
      <x:c r="K7" s="36" t="str">
        <x:v>ND</x:v>
      </x:c>
      <x:c r="L7" s="36" t="str">
        <x:v>P</x:v>
      </x:c>
      <x:c r="M7" s="36" t="str">
        <x:v>P</x:v>
      </x:c>
      <x:c r="N7" s="36" t="str">
        <x:v>ND</x:v>
      </x:c>
      <x:c r="O7" s="36" t="str">
        <x:v>ND</x:v>
      </x:c>
      <x:c r="P7" s="36" t="str">
        <x:v>I23:P→ND</x:v>
      </x:c>
      <x:c r="Q7" s="36" t="str">
        <x:v>S1_SCOPUS_ID014_Knowledge_Transfer_Olive_Andalusia(2).pdf</x:v>
      </x:c>
      <x:c r="R7" s="36" t="str">
        <x:v>Empirical TIS/knowledge-transfer study in the Andalusian olive landscape. Uses interviews with 14 DT experts/knowledge-generating actors, SNA across 21 actor types, and AHP to evaluate KT sub-functions and overall performance.</x:v>
      </x:c>
    </x:row>
    <x:row r="8">
      <x:c r="A8" s="36" t="str">
        <x:v>S1-015</x:v>
      </x:c>
      <x:c r="B8" s="36" t="str">
        <x:v>S1</x:v>
      </x:c>
      <x:c r="C8" s="36" t="n">
        <x:v>2025</x:v>
      </x:c>
      <x:c r="D8" s="36" t="str">
        <x:v>Digital Transformation in Grain Engineering and Post-Harvest Activities: A Case Study and Maturity Model Proposition</x:v>
      </x:c>
      <x:c r="E8" s="36" t="str">
        <x:v>10.3390/agriengineering7110391</x:v>
      </x:c>
      <x:c r="F8" s="36" t="str">
        <x:v>M</x:v>
      </x:c>
      <x:c r="G8" s="36" t="str">
        <x:v>High</x:v>
      </x:c>
      <x:c r="H8" s="36" t="str">
        <x:v>D</x:v>
      </x:c>
      <x:c r="I8" s="36" t="str">
        <x:v>D</x:v>
      </x:c>
      <x:c r="J8" s="36" t="str">
        <x:v>D</x:v>
      </x:c>
      <x:c r="K8" s="36" t="str">
        <x:v>D</x:v>
      </x:c>
      <x:c r="L8" s="36" t="str">
        <x:v>P</x:v>
      </x:c>
      <x:c r="M8" s="36" t="str">
        <x:v>P</x:v>
      </x:c>
      <x:c r="N8" s="36" t="str">
        <x:v>P</x:v>
      </x:c>
      <x:c r="O8" s="36" t="str">
        <x:v>P</x:v>
      </x:c>
      <x:c r="P8" s="36" t="str">
        <x:v>No change</x:v>
      </x:c>
      <x:c r="Q8" s="36" t="str">
        <x:v>S1_SCOPUS_ID015_Digital_Transformation_Grain_Post_Harvest(1).pdf</x:v>
      </x:c>
      <x:c r="R8" s="36" t="str">
        <x:v>Mixed longitudinal case study of a Brazilian post-harvest engineering company plus benchmarking/recommendations from BIBA. Combines observations, interviews, documents and client-facility evidence with quantitative operational results and a proposed maturity model.</x:v>
      </x:c>
    </x:row>
    <x:row r="9">
      <x:c r="A9" s="36" t="str">
        <x:v>S1-019</x:v>
      </x:c>
      <x:c r="B9" s="36" t="str">
        <x:v>S1</x:v>
      </x:c>
      <x:c r="C9" s="36" t="n">
        <x:v>2023</x:v>
      </x:c>
      <x:c r="D9" s="36" t="str">
        <x:v>Digital transformation of agriculture: A new integrated modeling framework for arable farm enterprises</x:v>
      </x:c>
      <x:c r="E9" s="36" t="str">
        <x:v>10.1016/j.compag.2023.108041</x:v>
      </x:c>
      <x:c r="F9" s="36" t="str">
        <x:v>M</x:v>
      </x:c>
      <x:c r="G9" s="36" t="str">
        <x:v>High</x:v>
      </x:c>
      <x:c r="H9" s="36" t="str">
        <x:v>D</x:v>
      </x:c>
      <x:c r="I9" s="36" t="str">
        <x:v>D</x:v>
      </x:c>
      <x:c r="J9" s="36" t="str">
        <x:v>D</x:v>
      </x:c>
      <x:c r="K9" s="36" t="str">
        <x:v>D</x:v>
      </x:c>
      <x:c r="L9" s="36" t="str">
        <x:v>P</x:v>
      </x:c>
      <x:c r="M9" s="36" t="str">
        <x:v>P</x:v>
      </x:c>
      <x:c r="N9" s="36" t="str">
        <x:v>P</x:v>
      </x:c>
      <x:c r="O9" s="36" t="str">
        <x:v>ND</x:v>
      </x:c>
      <x:c r="P9" s="36" t="str">
        <x:v>IM1:P→ND</x:v>
      </x:c>
      <x:c r="Q9" s="36" t="str">
        <x:v>S1_SCOPUS_ID019_Integrated_Modeling_Arable_Farm_Enterprises(1).pdf</x:v>
      </x:c>
      <x:c r="R9" s="36" t="str">
        <x:v>Design-oriented IEMFAFE framework validated through three real arable-farm EI cases. The cases include completed EI implementation, stakeholder questionnaires/interviews and comparative design/development metrics.</x:v>
      </x:c>
    </x:row>
    <x:row r="10">
      <x:c r="A10" s="36" t="str">
        <x:v>S1-022</x:v>
      </x:c>
      <x:c r="B10" s="36" t="str">
        <x:v>S1</x:v>
      </x:c>
      <x:c r="C10" s="36" t="n">
        <x:v>2022</x:v>
      </x:c>
      <x:c r="D10" s="36" t="str">
        <x:v>Theories and Models of Technology Adoption in Agricultural Sector</x:v>
      </x:c>
      <x:c r="E10" s="36" t="str">
        <x:v>10.1155/2022/9258317</x:v>
      </x:c>
      <x:c r="F10" s="36" t="str">
        <x:v>C</x:v>
      </x:c>
      <x:c r="G10" s="36" t="str">
        <x:v>High</x:v>
      </x:c>
      <x:c r="H10" s="36" t="str">
        <x:v>D</x:v>
      </x:c>
      <x:c r="I10" s="36" t="str">
        <x:v>D</x:v>
      </x:c>
      <x:c r="J10" s="36" t="str">
        <x:v>P</x:v>
      </x:c>
      <x:c r="K10" s="36" t="str">
        <x:v>ND</x:v>
      </x:c>
      <x:c r="L10" s="36" t="str">
        <x:v>P</x:v>
      </x:c>
      <x:c r="M10" s="36" t="str">
        <x:v>P</x:v>
      </x:c>
      <x:c r="N10" s="36" t="str">
        <x:v>ND</x:v>
      </x:c>
      <x:c r="O10" s="36" t="str">
        <x:v>ND</x:v>
      </x:c>
      <x:c r="P10" s="36" t="str">
        <x:v>I23:P→ND</x:v>
      </x:c>
      <x:c r="Q10" s="36" t="str">
        <x:v>S1_SCOPUS_ID022_Technology_Adoption_Theories_Agriculture(1).pdf</x:v>
      </x:c>
      <x:c r="R10" s="36" t="str">
        <x:v>Conceptual review compiling approximately 50 years of agricultural technology-adoption theories/models. It synthesizes adoption conditions, task-technology fit, facilitating resources, continued/discontinued use and proposes a collective adoption model; no bounded technology deployment is evaluated.</x:v>
      </x:c>
    </x:row>
    <x:row r="11">
      <x:c r="A11" s="36" t="str">
        <x:v>S1-025</x:v>
      </x:c>
      <x:c r="B11" s="36" t="str">
        <x:v>S1</x:v>
      </x:c>
      <x:c r="C11" s="36" t="n">
        <x:v>2023</x:v>
      </x:c>
      <x:c r="D11" s="36" t="str">
        <x:v>Practice insights for the responsible adoption of smart farming technologies using a participatory technology assessment approach: The case of virtual herding technology in Australia</x:v>
      </x:c>
      <x:c r="E11" s="36" t="str">
        <x:v>10.1016/j.agsy.2022.103592</x:v>
      </x:c>
      <x:c r="F11" s="36" t="str">
        <x:v>E</x:v>
      </x:c>
      <x:c r="G11" s="36" t="str">
        <x:v>High</x:v>
      </x:c>
      <x:c r="H11" s="36" t="str">
        <x:v>D</x:v>
      </x:c>
      <x:c r="I11" s="36" t="str">
        <x:v>D</x:v>
      </x:c>
      <x:c r="J11" s="36" t="str">
        <x:v>P</x:v>
      </x:c>
      <x:c r="K11" s="36" t="str">
        <x:v>P</x:v>
      </x:c>
      <x:c r="L11" s="36" t="str">
        <x:v>P</x:v>
      </x:c>
      <x:c r="M11" s="36" t="str">
        <x:v>P</x:v>
      </x:c>
      <x:c r="N11" s="36" t="str">
        <x:v>P</x:v>
      </x:c>
      <x:c r="O11" s="36" t="str">
        <x:v>ND</x:v>
      </x:c>
      <x:c r="P11" s="36" t="str">
        <x:v>IM1:P→ND</x:v>
      </x:c>
      <x:c r="Q11" s="36" t="str">
        <x:v>S1_SCOPUS_ID025_Responsible_Adoption_Virtual_Herding(2).pdf</x:v>
      </x:c>
      <x:c r="R11" s="36" t="str">
        <x:v>Empirical participatory technology-assessment study of a specific pre-commercial virtual-herding product. Eighty stakeholders/end-users assessed applications, benefits, risks and support needs; a 13-member consultative panel subsequently informed a cross-industry adoption strategy.</x:v>
      </x:c>
    </x:row>
    <x:row r="12">
      <x:c r="A12" s="36" t="str">
        <x:v>S1-042</x:v>
      </x:c>
      <x:c r="B12" s="36" t="str">
        <x:v>S1</x:v>
      </x:c>
      <x:c r="C12" s="36" t="n">
        <x:v>2021</x:v>
      </x:c>
      <x:c r="D12" s="36" t="str">
        <x:v>Balanced readiness level assessment (BRLa): A tool for exploring new and emerging technologies.</x:v>
      </x:c>
      <x:c r="E12" s="36" t="str">
        <x:v>10.1016/j.techfore.2021.120854</x:v>
      </x:c>
      <x:c r="F12" s="36" t="str">
        <x:v>M</x:v>
      </x:c>
      <x:c r="G12" s="36" t="str">
        <x:v>High</x:v>
      </x:c>
      <x:c r="H12" s="36" t="str">
        <x:v>D</x:v>
      </x:c>
      <x:c r="I12" s="36" t="str">
        <x:v>D</x:v>
      </x:c>
      <x:c r="J12" s="36" t="str">
        <x:v>D</x:v>
      </x:c>
      <x:c r="K12" s="36" t="str">
        <x:v>P</x:v>
      </x:c>
      <x:c r="L12" s="36" t="str">
        <x:v>P</x:v>
      </x:c>
      <x:c r="M12" s="36" t="str">
        <x:v>P</x:v>
      </x:c>
      <x:c r="N12" s="36" t="str">
        <x:v>P</x:v>
      </x:c>
      <x:c r="O12" s="36" t="str">
        <x:v>ND</x:v>
      </x:c>
      <x:c r="P12" s="36" t="str">
        <x:v>I23:D→P; IM1:P→ND</x:v>
      </x:c>
      <x:c r="Q12" s="36" t="str">
        <x:v>S1_SCOPUS_ID042_Balanced_Readiness_Level_Assessment(2).pdf</x:v>
      </x:c>
      <x:c r="R12" s="36" t="str">
        <x:v>Mixed conceptual/empirical paper developing the five-dimensional BRLa methodology and applying it to 36 agricultural technologies plus an in-depth historical Nofence case based on interviews, observations and secondary material.</x:v>
      </x:c>
    </x:row>
    <x:row r="13">
      <x:c r="A13" s="36" t="str">
        <x:v>S1-046</x:v>
      </x:c>
      <x:c r="B13" s="36" t="str">
        <x:v>S1</x:v>
      </x:c>
      <x:c r="C13" s="36" t="n">
        <x:v>2023</x:v>
      </x:c>
      <x:c r="D13" s="36" t="str">
        <x:v>A concept for application of integrated digital technologies to enhance future smart agricultural systems</x:v>
      </x:c>
      <x:c r="E13" s="36" t="str">
        <x:v>10.1016/j.atech.2023.100255</x:v>
      </x:c>
      <x:c r="F13" s="36" t="str">
        <x:v>C</x:v>
      </x:c>
      <x:c r="G13" s="36" t="str">
        <x:v>High</x:v>
      </x:c>
      <x:c r="H13" s="36" t="str">
        <x:v>D</x:v>
      </x:c>
      <x:c r="I13" s="36" t="str">
        <x:v>D</x:v>
      </x:c>
      <x:c r="J13" s="36" t="str">
        <x:v>P</x:v>
      </x:c>
      <x:c r="K13" s="36" t="str">
        <x:v>ND</x:v>
      </x:c>
      <x:c r="L13" s="36" t="str">
        <x:v>P</x:v>
      </x:c>
      <x:c r="M13" s="36" t="str">
        <x:v>P</x:v>
      </x:c>
      <x:c r="N13" s="36" t="str">
        <x:v>ND</x:v>
      </x:c>
      <x:c r="O13" s="36" t="str">
        <x:v>ND</x:v>
      </x:c>
      <x:c r="P13" s="36" t="str">
        <x:v>I23:P→ND</x:v>
      </x:c>
      <x:c r="Q13" s="36" t="str">
        <x:v>S1_SCOPUS_ID046_Integrated_Digital_Technologies_Smart_Agriculture(2).pdf</x:v>
      </x:c>
      <x:c r="R13" s="36" t="str">
        <x:v>Conceptual literature-review and architecture-development paper. It proposes an integrated smart-farming concept combining sensors, IoT, AI/data fusion, edge/cloud computing, Blockchain, DSS, governance and data security. Practical development, testing and demonstration are explicitly future work.</x:v>
      </x:c>
    </x:row>
    <x:row r="14">
      <x:c r="A14" s="36" t="str">
        <x:v>S1-049</x:v>
      </x:c>
      <x:c r="B14" s="36" t="str">
        <x:v>S1</x:v>
      </x:c>
      <x:c r="C14" s="36" t="n">
        <x:v>2026</x:v>
      </x:c>
      <x:c r="D14" s="36" t="str">
        <x:v>Sustainable digitalisation - a system thinking approach for determining costs and benefits in the agri-sector</x:v>
      </x:c>
      <x:c r="E14" s="36" t="str">
        <x:v>10.1016/j.agsy.2025.104529</x:v>
      </x:c>
      <x:c r="F14" s="36" t="str">
        <x:v>C</x:v>
      </x:c>
      <x:c r="G14" s="36" t="str">
        <x:v>Medium</x:v>
      </x:c>
      <x:c r="H14" s="36" t="str">
        <x:v>P</x:v>
      </x:c>
      <x:c r="I14" s="36" t="str">
        <x:v>P</x:v>
      </x:c>
      <x:c r="J14" s="36" t="str">
        <x:v>P</x:v>
      </x:c>
      <x:c r="K14" s="36" t="str">
        <x:v>ND</x:v>
      </x:c>
      <x:c r="L14" s="36" t="str">
        <x:v>P</x:v>
      </x:c>
      <x:c r="M14" s="36" t="str">
        <x:v>P</x:v>
      </x:c>
      <x:c r="N14" s="36" t="str">
        <x:v>ND</x:v>
      </x:c>
      <x:c r="O14" s="36" t="str">
        <x:v>ND</x:v>
      </x:c>
      <x:c r="P14" s="36" t="str">
        <x:v>I23:P→ND</x:v>
      </x:c>
      <x:c r="Q14" s="36" t="str">
        <x:v>S1_SCOPUS_ID049_Sustainable_Digitalisation_System_Thinking(2).pdf</x:v>
      </x:c>
      <x:c r="R14" s="36" t="str">
        <x:v>Conceptual short communication based on a CODECS scoping review and interdisciplinary project interactions. It proposes a multilevel systems framework for assessing digitalisation costs and benefits across farm processes, digital ecosystems and socio-environmental contexts; no bounded deployment is longitudinally validated.</x:v>
      </x:c>
    </x:row>
    <x:row r="15">
      <x:c r="A15" s="36" t="str">
        <x:v>S1-050</x:v>
      </x:c>
      <x:c r="B15" s="36" t="str">
        <x:v>S1</x:v>
      </x:c>
      <x:c r="C15" s="36" t="n">
        <x:v>2026</x:v>
      </x:c>
      <x:c r="D15" s="36" t="str">
        <x:v>Development of an integrated smart farm system for open-field soybean cultivation in a former paddy fields</x:v>
      </x:c>
      <x:c r="E15" s="36" t="str">
        <x:v>10.3389/fsufs.2026.1702551</x:v>
      </x:c>
      <x:c r="F15" s="36" t="str">
        <x:v>E</x:v>
      </x:c>
      <x:c r="G15" s="36" t="str">
        <x:v>High</x:v>
      </x:c>
      <x:c r="H15" s="36" t="str">
        <x:v>D</x:v>
      </x:c>
      <x:c r="I15" s="36" t="str">
        <x:v>D</x:v>
      </x:c>
      <x:c r="J15" s="36" t="str">
        <x:v>D</x:v>
      </x:c>
      <x:c r="K15" s="36" t="str">
        <x:v>D</x:v>
      </x:c>
      <x:c r="L15" s="36" t="str">
        <x:v>P</x:v>
      </x:c>
      <x:c r="M15" s="36" t="str">
        <x:v>P</x:v>
      </x:c>
      <x:c r="N15" s="36" t="str">
        <x:v>P</x:v>
      </x:c>
      <x:c r="O15" s="36" t="str">
        <x:v>ND</x:v>
      </x:c>
      <x:c r="P15" s="36" t="str">
        <x:v>IM1:P→ND</x:v>
      </x:c>
      <x:c r="Q15" s="36" t="str">
        <x:v>S1_SCOPUS_ID050_Integrated_Smart_Farm_Open_Field_Soybean(2).pdf</x:v>
      </x:c>
      <x:c r="R15" s="36" t="str">
        <x:v>Empirical three-year open-field deployment (2022–2024) in soybean grown on former paddy fields. The integrated system combines autonomous machinery, irrigation/drainage/fertigation, smart traps, UAV monitoring/spraying and an IMCS, with smart-vs-conventional comparison of yield and labor.</x:v>
      </x:c>
    </x:row>
    <x:row r="16">
      <x:c r="A16" s="36" t="str">
        <x:v>S1-051</x:v>
      </x:c>
      <x:c r="B16" s="36" t="str">
        <x:v>S1</x:v>
      </x:c>
      <x:c r="C16" s="36" t="n">
        <x:v>2026</x:v>
      </x:c>
      <x:c r="D16" s="36" t="str">
        <x:v>Factors influencing agricultural digital transformation: A systematic review of environmental, technological, and individual dimensions</x:v>
      </x:c>
      <x:c r="E16" s="36" t="str">
        <x:v>10.1016/j.compag.2026.111430</x:v>
      </x:c>
      <x:c r="F16" s="36" t="str">
        <x:v>C</x:v>
      </x:c>
      <x:c r="G16" s="36" t="str">
        <x:v>High</x:v>
      </x:c>
      <x:c r="H16" s="36" t="str">
        <x:v>D</x:v>
      </x:c>
      <x:c r="I16" s="36" t="str">
        <x:v>D</x:v>
      </x:c>
      <x:c r="J16" s="36" t="str">
        <x:v>P</x:v>
      </x:c>
      <x:c r="K16" s="36" t="str">
        <x:v>ND</x:v>
      </x:c>
      <x:c r="L16" s="36" t="str">
        <x:v>P</x:v>
      </x:c>
      <x:c r="M16" s="36" t="str">
        <x:v>P</x:v>
      </x:c>
      <x:c r="N16" s="36" t="str">
        <x:v>ND</x:v>
      </x:c>
      <x:c r="O16" s="36" t="str">
        <x:v>ND</x:v>
      </x:c>
      <x:c r="P16" s="36" t="str">
        <x:v>I23:P→ND</x:v>
      </x:c>
      <x:c r="Q16" s="36" t="str">
        <x:v>S1_SCOPUS_ID051_Factors_Agricultural_Digital_Transformation_Review(2).pdf</x:v>
      </x:c>
      <x:c r="R16" s="36" t="str">
        <x:v>Systematic literature review and bibliometric synthesis of 620 publications (2010–2024). It develops an external-environment / technology-ecology / individual-behavior framework and derives differentiated policy, enterprise and farmer implications; it does not contribute a new bounded agricultural technology deployment.</x:v>
      </x:c>
    </x:row>
    <x:row r="17">
      <x:c r="A17" s="36" t="str">
        <x:v>S1-052</x:v>
      </x:c>
      <x:c r="B17" s="36" t="str">
        <x:v>S1</x:v>
      </x:c>
      <x:c r="C17" s="36" t="n">
        <x:v>2026</x:v>
      </x:c>
      <x:c r="D17" s="36" t="str">
        <x:v>Communication as the primary driver of IoT-based smart farming adoption: the mediating role of innovation perception and the supporting function of institutional mechanism</x:v>
      </x:c>
      <x:c r="E17" s="36" t="str">
        <x:v>10.3389/fcomm.2026.1752567</x:v>
      </x:c>
      <x:c r="F17" s="36" t="str">
        <x:v>E</x:v>
      </x:c>
      <x:c r="G17" s="36" t="str">
        <x:v>High</x:v>
      </x:c>
      <x:c r="H17" s="36" t="str">
        <x:v>D</x:v>
      </x:c>
      <x:c r="I17" s="36" t="str">
        <x:v>D</x:v>
      </x:c>
      <x:c r="J17" s="36" t="str">
        <x:v>P</x:v>
      </x:c>
      <x:c r="K17" s="36" t="str">
        <x:v>ND</x:v>
      </x:c>
      <x:c r="L17" s="36" t="str">
        <x:v>P</x:v>
      </x:c>
      <x:c r="M17" s="36" t="str">
        <x:v>P</x:v>
      </x:c>
      <x:c r="N17" s="36" t="str">
        <x:v>ND</x:v>
      </x:c>
      <x:c r="O17" s="36" t="str">
        <x:v>ND</x:v>
      </x:c>
      <x:c r="P17" s="36" t="str">
        <x:v>I23:P→ND</x:v>
      </x:c>
      <x:c r="Q17" s="36" t="str">
        <x:v>S1_SCOPUS_ID052_Communication_IoT_Smart_Farming_Adoption(1).pdf</x:v>
      </x:c>
      <x:c r="R17" s="36" t="str">
        <x:v>Cross-sectional empirical adoption study in West Java using 200 farmers across 100 Digital Villages, PLS-SEM and contextual interviews. It evaluates communication, institutional support, innovation perception and adoption duration/features rather than the technical performance of one configured IoT application.</x:v>
      </x:c>
    </x:row>
    <x:row r="18">
      <x:c r="A18" s="36" t="str">
        <x:v>S1-053</x:v>
      </x:c>
      <x:c r="B18" s="36" t="str">
        <x:v>S1</x:v>
      </x:c>
      <x:c r="C18" s="36" t="n">
        <x:v>2022</x:v>
      </x:c>
      <x:c r="D18" s="36" t="str">
        <x:v>An integrated socio-cyber-physical system framework to assess responsible digitalisation in agriculture: A first application with Living Labs in Europe</x:v>
      </x:c>
      <x:c r="E18" s="36" t="str">
        <x:v>10.1016/j.agsy.2022.103533</x:v>
      </x:c>
      <x:c r="F18" s="36" t="str">
        <x:v>M</x:v>
      </x:c>
      <x:c r="G18" s="36" t="str">
        <x:v>High</x:v>
      </x:c>
      <x:c r="H18" s="36" t="str">
        <x:v>D</x:v>
      </x:c>
      <x:c r="I18" s="36" t="str">
        <x:v>D</x:v>
      </x:c>
      <x:c r="J18" s="36" t="str">
        <x:v>P</x:v>
      </x:c>
      <x:c r="K18" s="36" t="str">
        <x:v>P</x:v>
      </x:c>
      <x:c r="L18" s="36" t="str">
        <x:v>P</x:v>
      </x:c>
      <x:c r="M18" s="36" t="str">
        <x:v>P</x:v>
      </x:c>
      <x:c r="N18" s="36" t="str">
        <x:v>ND</x:v>
      </x:c>
      <x:c r="O18" s="36" t="str">
        <x:v>ND</x:v>
      </x:c>
      <x:c r="P18" s="36" t="str">
        <x:v>No change</x:v>
      </x:c>
      <x:c r="Q18" s="36" t="str">
        <x:v>S1_SCOPUS_ID053_Socio_Cyber_Physical_Responsible_Digitalisation(2).pdf</x:v>
      </x:c>
      <x:c r="R18" s="36" t="str">
        <x:v>Mixed conceptual/empirical SCPS assessment framework applied across 21 European Living Labs using interviews, focus groups, surveys and secondary data. The paper contains bounded Living-Lab subexamples, including the Best4Soil DSS/database example used in the settled v1.3 I23 boundary adjudication.</x:v>
      </x:c>
    </x:row>
    <x:row r="19">
      <x:c r="A19" s="36" t="str">
        <x:v>S1-056</x:v>
      </x:c>
      <x:c r="B19" s="36" t="str">
        <x:v>S1</x:v>
      </x:c>
      <x:c r="C19" s="36" t="n">
        <x:v>2026</x:v>
      </x:c>
      <x:c r="D19" s="36" t="str">
        <x:v>A Framework to Measure Maturity of Industrial IoT Technology for Agricultural Regulatory Compliance Activities and Decentralization</x:v>
      </x:c>
      <x:c r="E19" s="36" t="str">
        <x:v>10.3390/fi18030142</x:v>
      </x:c>
      <x:c r="F19" s="36" t="str">
        <x:v>C</x:v>
      </x:c>
      <x:c r="G19" s="36" t="str">
        <x:v>High</x:v>
      </x:c>
      <x:c r="H19" s="36" t="str">
        <x:v>D</x:v>
      </x:c>
      <x:c r="I19" s="36" t="str">
        <x:v>D</x:v>
      </x:c>
      <x:c r="J19" s="36" t="str">
        <x:v>P</x:v>
      </x:c>
      <x:c r="K19" s="36" t="str">
        <x:v>ND</x:v>
      </x:c>
      <x:c r="L19" s="36" t="str">
        <x:v>D</x:v>
      </x:c>
      <x:c r="M19" s="36" t="str">
        <x:v>D</x:v>
      </x:c>
      <x:c r="N19" s="36" t="str">
        <x:v>ND</x:v>
      </x:c>
      <x:c r="O19" s="36" t="str">
        <x:v>ND</x:v>
      </x:c>
      <x:c r="P19" s="36" t="str">
        <x:v>I23:P→ND</x:v>
      </x:c>
      <x:c r="Q19" s="36" t="str">
        <x:v>S1_SCOPUS_ID056_IIoT_Maturity_Agricultural_Regulatory_Compliance(2).pdf</x:v>
      </x:c>
      <x:c r="R19" s="36" t="str">
        <x:v>Conceptual/review paper based on 121 research articles, reports, guidelines and policy documents. It develops TRAFC, a six-attribute RegTech readiness framework, applies it analytically to agricultural technology/use-case classes, and proposes a future decentralized compliance architecture with shared responsibility and redundancy.</x:v>
      </x:c>
    </x:row>
    <x:row r="20">
      <x:c r="A20" s="36" t="str">
        <x:v>S1-057</x:v>
      </x:c>
      <x:c r="B20" s="36" t="str">
        <x:v>S1</x:v>
      </x:c>
      <x:c r="C20" s="36" t="n">
        <x:v>2026</x:v>
      </x:c>
      <x:c r="D20" s="36" t="str">
        <x:v>The Validation–Deployment Gap in Agricultural Information Systems: A Systematic Technology Readiness Assessment</x:v>
      </x:c>
      <x:c r="E20" s="36" t="str">
        <x:v>10.3390/informatics13010014</x:v>
      </x:c>
      <x:c r="F20" s="36" t="str">
        <x:v>M</x:v>
      </x:c>
      <x:c r="G20" s="36" t="str">
        <x:v>High</x:v>
      </x:c>
      <x:c r="H20" s="36" t="str">
        <x:v>D</x:v>
      </x:c>
      <x:c r="I20" s="36" t="str">
        <x:v>D</x:v>
      </x:c>
      <x:c r="J20" s="36" t="str">
        <x:v>P</x:v>
      </x:c>
      <x:c r="K20" s="36" t="str">
        <x:v>ND</x:v>
      </x:c>
      <x:c r="L20" s="36" t="str">
        <x:v>P</x:v>
      </x:c>
      <x:c r="M20" s="36" t="str">
        <x:v>P</x:v>
      </x:c>
      <x:c r="N20" s="36" t="str">
        <x:v>ND</x:v>
      </x:c>
      <x:c r="O20" s="36" t="str">
        <x:v>ND</x:v>
      </x:c>
      <x:c r="P20" s="36" t="str">
        <x:v>I23:P→ND</x:v>
      </x:c>
      <x:c r="Q20" s="36" t="str">
        <x:v>S1_SCOPUS_ID057_Validation_Deployment_Gap_Agricultural_Information_Systems(1).pdf</x:v>
      </x:c>
      <x:c r="R20" s="36" t="str">
        <x:v>Systematic review of 99 studies combining quantitative performance/TRL synthesis with qualitative barrier and implementation analysis. It contrasts strong computational performance with weak economic/contextual validation and limited sustained deployment, but does not contribute a new bounded technology deployment.</x:v>
      </x:c>
    </x:row>
    <x:row r="21">
      <x:c r="A21" s="36" t="str">
        <x:v>S1-058</x:v>
      </x:c>
      <x:c r="B21" s="36" t="str">
        <x:v>S1</x:v>
      </x:c>
      <x:c r="C21" s="36" t="n">
        <x:v>2026</x:v>
      </x:c>
      <x:c r="D21" s="36" t="str">
        <x:v>Digitalisation of food value chains in developing countries: Systemic barriers and a digital-maturity-stratified strategy for integrated and inclusive adoption</x:v>
      </x:c>
      <x:c r="E21" s="36" t="str">
        <x:v>10.1016/j.tifs.2026.105786</x:v>
      </x:c>
      <x:c r="F21" s="36" t="str">
        <x:v>C</x:v>
      </x:c>
      <x:c r="G21" s="36" t="str">
        <x:v>High</x:v>
      </x:c>
      <x:c r="H21" s="36" t="str">
        <x:v>D</x:v>
      </x:c>
      <x:c r="I21" s="36" t="str">
        <x:v>D</x:v>
      </x:c>
      <x:c r="J21" s="36" t="str">
        <x:v>P</x:v>
      </x:c>
      <x:c r="K21" s="36" t="str">
        <x:v>ND</x:v>
      </x:c>
      <x:c r="L21" s="36" t="str">
        <x:v>D</x:v>
      </x:c>
      <x:c r="M21" s="36" t="str">
        <x:v>D</x:v>
      </x:c>
      <x:c r="N21" s="36" t="str">
        <x:v>ND</x:v>
      </x:c>
      <x:c r="O21" s="36" t="str">
        <x:v>ND</x:v>
      </x:c>
      <x:c r="P21" s="36" t="str">
        <x:v>I23:P→ND</x:v>
      </x:c>
      <x:c r="Q21" s="36" t="str">
        <x:v>S1_SCOPUS_ID058_Digitalisation_Food_Value_Chains_Developing_Countries(2).pdf</x:v>
      </x:c>
      <x:c r="R21" s="36" t="str">
        <x:v>Systematic review of developing-country food-value-chain digitalisation using UTAUT and PAR to diagnose systemic barriers and propose a five-level, four-phase maturity-stratified implementation strategy. The article provides a detailed conceptual support/repair ecosystem but no original bounded deployment.</x:v>
      </x:c>
    </x:row>
    <x:row r="22">
      <x:c r="A22" s="36" t="str">
        <x:v>S1-068</x:v>
      </x:c>
      <x:c r="B22" s="36" t="str">
        <x:v>S1</x:v>
      </x:c>
      <x:c r="C22" s="36" t="n">
        <x:v>2026</x:v>
      </x:c>
      <x:c r="D22" s="36" t="str">
        <x:v>A capability maturity model for assessing digital integration in smart farming</x:v>
      </x:c>
      <x:c r="E22" s="36" t="str">
        <x:v>10.1016/j.atech.2025.101743</x:v>
      </x:c>
      <x:c r="F22" s="36" t="str">
        <x:v>M</x:v>
      </x:c>
      <x:c r="G22" s="36" t="str">
        <x:v>High</x:v>
      </x:c>
      <x:c r="H22" s="36" t="str">
        <x:v>D</x:v>
      </x:c>
      <x:c r="I22" s="36" t="str">
        <x:v>D</x:v>
      </x:c>
      <x:c r="J22" s="36" t="str">
        <x:v>P</x:v>
      </x:c>
      <x:c r="K22" s="36" t="str">
        <x:v>ND</x:v>
      </x:c>
      <x:c r="L22" s="36" t="str">
        <x:v>P</x:v>
      </x:c>
      <x:c r="M22" s="36" t="str">
        <x:v>P</x:v>
      </x:c>
      <x:c r="N22" s="36" t="str">
        <x:v>ND</x:v>
      </x:c>
      <x:c r="O22" s="36" t="str">
        <x:v>ND</x:v>
      </x:c>
      <x:c r="P22" s="36" t="str">
        <x:v>I23:P→ND</x:v>
      </x:c>
      <x:c r="Q22" s="36" t="str">
        <x:v>S1_SCOPUS_ID068_Capability_Maturity_Digital_Integration_Smart_Farming(2).pdf</x:v>
      </x:c>
      <x:c r="R22" s="36" t="str">
        <x:v>Mixed design-science and multi-case validation study. It develops CMM-SF and applies the maturity instrument to three Dutch smart-farming cases (arable, fruit research, dairy), producing organization/technology maturity diagnoses and improvement priorities. Iterative changes reported in the paper primarily concern the maturity-assessment artifact rather than a deployed agricultural technology learning cycle.</x:v>
      </x:c>
    </x:row>
    <x:row r="23">
      <x:c r="A23" s="36" t="str">
        <x:v>S1-080</x:v>
      </x:c>
      <x:c r="B23" s="36" t="str">
        <x:v>S1</x:v>
      </x:c>
      <x:c r="C23" s="36" t="n">
        <x:v>2022</x:v>
      </x:c>
      <x:c r="D23" s="36" t="str">
        <x:v>Responsible robotics design–A systems approach to developing design guides for robotics in pasture-grazed dairy farming</x:v>
      </x:c>
      <x:c r="E23" s="36" t="str">
        <x:v>10.3389/frobt.2022.914850</x:v>
      </x:c>
      <x:c r="F23" s="36" t="str">
        <x:v>C</x:v>
      </x:c>
      <x:c r="G23" s="36" t="str">
        <x:v>High</x:v>
      </x:c>
      <x:c r="H23" s="36" t="str">
        <x:v>D</x:v>
      </x:c>
      <x:c r="I23" s="36" t="str">
        <x:v>D</x:v>
      </x:c>
      <x:c r="J23" s="36" t="str">
        <x:v>P</x:v>
      </x:c>
      <x:c r="K23" s="36" t="str">
        <x:v>P</x:v>
      </x:c>
      <x:c r="L23" s="36" t="str">
        <x:v>D</x:v>
      </x:c>
      <x:c r="M23" s="36" t="str">
        <x:v>D</x:v>
      </x:c>
      <x:c r="N23" s="36" t="str">
        <x:v>ND</x:v>
      </x:c>
      <x:c r="O23" s="36" t="str">
        <x:v>ND</x:v>
      </x:c>
      <x:c r="P23" s="36" t="str">
        <x:v>No change</x:v>
      </x:c>
      <x:c r="Q23" s="36" t="str">
        <x:v>S1_SCOPUS_ID080_Responsible_Robotics_Design_Pasture_Dairy(1).pdf</x:v>
      </x:c>
      <x:c r="R23" s="36" t="str">
        <x:v>Perspective/conceptual paper proposing a responsibility-by-design guide for agricultural robotics and applying it to the bounded case of high-throughput robotic milking in New Zealand pasture-grazed dairy systems. It derives detailed design and support requirements, but no prototype/deployment test of the proposed high-throughput system is reported.</x:v>
      </x:c>
    </x:row>
    <x:row r="24">
      <x:c r="A24" s="36" t="str">
        <x:v>S1-083</x:v>
      </x:c>
      <x:c r="B24" s="36" t="str">
        <x:v>S1</x:v>
      </x:c>
      <x:c r="C24" s="36" t="n">
        <x:v>2026</x:v>
      </x:c>
      <x:c r="D24" s="36" t="str">
        <x:v>Perceptions to Precision: Bridging the Gap Between Behavioral Drivers and Digital Tools for Sustainable Pesticide Use in Europe</x:v>
      </x:c>
      <x:c r="E24" s="36" t="str">
        <x:v>10.3390/agronomy16020214</x:v>
      </x:c>
      <x:c r="F24" s="36" t="str">
        <x:v>C</x:v>
      </x:c>
      <x:c r="G24" s="36" t="str">
        <x:v>High</x:v>
      </x:c>
      <x:c r="H24" s="36" t="str">
        <x:v>D</x:v>
      </x:c>
      <x:c r="I24" s="36" t="str">
        <x:v>D</x:v>
      </x:c>
      <x:c r="J24" s="36" t="str">
        <x:v>D</x:v>
      </x:c>
      <x:c r="K24" s="36" t="str">
        <x:v>D</x:v>
      </x:c>
      <x:c r="L24" s="36" t="str">
        <x:v>D</x:v>
      </x:c>
      <x:c r="M24" s="36" t="str">
        <x:v>D</x:v>
      </x:c>
      <x:c r="N24" s="36" t="str">
        <x:v>ND</x:v>
      </x:c>
      <x:c r="O24" s="36" t="str">
        <x:v>ND</x:v>
      </x:c>
      <x:c r="P24" s="36" t="str">
        <x:v>No change</x:v>
      </x:c>
      <x:c r="Q24" s="36" t="str">
        <x:v>S1_SCOPUS_ID083_Perceptions_Precision_Sustainable_Pesticides(1).pdf</x:v>
      </x:c>
      <x:c r="R24" s="36" t="str">
        <x:v>Systematic review of 65 European studies integrating behavioural determinants of pesticide/IPM decisions with evidence on DSS, sensors and precision technologies. The review explicitly reconstructs bounded technology examples such as NEGFRY and LAS-DSS and proposes a Psycho-Digital Integration Framework with green insurance and independent advisory support.</x:v>
      </x:c>
    </x:row>
    <x:row r="25">
      <x:c r="A25" s="36" t="str">
        <x:v>S1-084</x:v>
      </x:c>
      <x:c r="B25" s="36" t="str">
        <x:v>S1</x:v>
      </x:c>
      <x:c r="C25" s="36" t="n">
        <x:v>2024</x:v>
      </x:c>
      <x:c r="D25" s="36" t="str">
        <x:v>Functional analysis of technological innovation systems enabling digital transformation: A semi-quantitative multicriteria framework applied in the olive sector</x:v>
      </x:c>
      <x:c r="E25" s="36" t="str">
        <x:v>10.1016/j.agsy.2023.103848</x:v>
      </x:c>
      <x:c r="F25" s="36" t="str">
        <x:v>M</x:v>
      </x:c>
      <x:c r="G25" s="36" t="str">
        <x:v>High</x:v>
      </x:c>
      <x:c r="H25" s="36" t="str">
        <x:v>P</x:v>
      </x:c>
      <x:c r="I25" s="36" t="str">
        <x:v>P</x:v>
      </x:c>
      <x:c r="J25" s="36" t="str">
        <x:v>P</x:v>
      </x:c>
      <x:c r="K25" s="36" t="str">
        <x:v>ND</x:v>
      </x:c>
      <x:c r="L25" s="36" t="str">
        <x:v>P</x:v>
      </x:c>
      <x:c r="M25" s="36" t="str">
        <x:v>P</x:v>
      </x:c>
      <x:c r="N25" s="36" t="str">
        <x:v>ND</x:v>
      </x:c>
      <x:c r="O25" s="36" t="str">
        <x:v>ND</x:v>
      </x:c>
      <x:c r="P25" s="36" t="str">
        <x:v>I23:P→ND</x:v>
      </x:c>
      <x:c r="Q25" s="36" t="str">
        <x:v>S1_SCOPUS_ID084_TIS_Digital_Transformation_Olive_Sector(1).pdf</x:v>
      </x:c>
      <x:c r="R25" s="36" t="str">
        <x:v>Mixed methodological/empirical TIS study. It develops an AHP-based semi-quantitative framework and applies it to the regional technological innovation system for digital transformation of the Andalusian olive sector using 34 experts. The analysis is explicitly system-level (functions, subfunctions, actors, resources and policy priorities), not a bounded agricultural technology deployment.</x:v>
      </x:c>
    </x:row>
    <x:row r="26">
      <x:c r="A26" s="36" t="str">
        <x:v>S1-095</x:v>
      </x:c>
      <x:c r="B26" s="36" t="str">
        <x:v>S1</x:v>
      </x:c>
      <x:c r="C26" s="36" t="n">
        <x:v>2025</x:v>
      </x:c>
      <x:c r="D26" s="36" t="str">
        <x:v>How to measure digital maturity in agriculture? Conceptual outline, instrument development and measurement results from German farms</x:v>
      </x:c>
      <x:c r="E26" s="36" t="str">
        <x:v>10.22434/IFAMR.1027</x:v>
      </x:c>
      <x:c r="F26" s="36" t="str">
        <x:v>M</x:v>
      </x:c>
      <x:c r="G26" s="36" t="str">
        <x:v>High</x:v>
      </x:c>
      <x:c r="H26" s="36" t="str">
        <x:v>D</x:v>
      </x:c>
      <x:c r="I26" s="36" t="str">
        <x:v>D</x:v>
      </x:c>
      <x:c r="J26" s="36" t="str">
        <x:v>P</x:v>
      </x:c>
      <x:c r="K26" s="36" t="str">
        <x:v>ND</x:v>
      </x:c>
      <x:c r="L26" s="36" t="str">
        <x:v>P</x:v>
      </x:c>
      <x:c r="M26" s="36" t="str">
        <x:v>P</x:v>
      </x:c>
      <x:c r="N26" s="36" t="str">
        <x:v>ND</x:v>
      </x:c>
      <x:c r="O26" s="36" t="str">
        <x:v>ND</x:v>
      </x:c>
      <x:c r="P26" s="36" t="str">
        <x:v>I23:P→ND</x:v>
      </x:c>
      <x:c r="Q26" s="36" t="str">
        <x:v>S1_SCOPUS_ID095_Digital_Maturity_German_Farms(2).pdf</x:v>
      </x:c>
      <x:c r="R26" s="36" t="str">
        <x:v>Mixed maturity-model development and empirical survey study. The authors build a nine-dimension socio-technical digital maturity model using literature, 15 expert interviews and a survey of 123 German farms, then derive strategic development implications. The empirical object is farm-level digital maturity rather than one configured agricultural technology application.</x:v>
      </x:c>
    </x:row>
    <x:row r="27">
      <x:c r="A27" s="36" t="str">
        <x:v>S1-099</x:v>
      </x:c>
      <x:c r="B27" s="36" t="str">
        <x:v>S1</x:v>
      </x:c>
      <x:c r="C27" s="36" t="n">
        <x:v>2021</x:v>
      </x:c>
      <x:c r="D27" s="36" t="str">
        <x:v>Digital transformation of agriculture and rural areas: A socio-cyber-physical system framework to support responsibilisation</x:v>
      </x:c>
      <x:c r="E27" s="36" t="str">
        <x:v>10.1016/j.jrurstud.2021.05.003</x:v>
      </x:c>
      <x:c r="F27" s="36" t="str">
        <x:v>C</x:v>
      </x:c>
      <x:c r="G27" s="36" t="str">
        <x:v>High</x:v>
      </x:c>
      <x:c r="H27" s="36" t="str">
        <x:v>D</x:v>
      </x:c>
      <x:c r="I27" s="36" t="str">
        <x:v>D</x:v>
      </x:c>
      <x:c r="J27" s="36" t="str">
        <x:v>P</x:v>
      </x:c>
      <x:c r="K27" s="36" t="str">
        <x:v>P</x:v>
      </x:c>
      <x:c r="L27" s="36" t="str">
        <x:v>P</x:v>
      </x:c>
      <x:c r="M27" s="36" t="str">
        <x:v>P</x:v>
      </x:c>
      <x:c r="N27" s="36" t="str">
        <x:v>ND</x:v>
      </x:c>
      <x:c r="O27" s="36" t="str">
        <x:v>ND</x:v>
      </x:c>
      <x:c r="P27" s="36" t="str">
        <x:v>No change</x:v>
      </x:c>
      <x:c r="Q27" s="36" t="str">
        <x:v>S1_SCOPUS_ID099_Socio_Cyber_Physical_Responsibilisation(1).pdf</x:v>
      </x:c>
      <x:c r="R27" s="36" t="str">
        <x:v>Conceptual socio-cyber-physical-system framework for responsible digital transformation, illustrated with a bounded dairy/robotic-milking example assembled from prior literature. The paper explicitly derives design/access requirements and responsibilities, but does not report its own bounded technology test or a closed deployment-learning cycle.</x:v>
      </x:c>
    </x:row>
    <x:row r="28">
      <x:c r="A28" s="36" t="str">
        <x:v>S1-107</x:v>
      </x:c>
      <x:c r="B28" s="36" t="str">
        <x:v>S1</x:v>
      </x:c>
      <x:c r="C28" s="36" t="n">
        <x:v>2026</x:v>
      </x:c>
      <x:c r="D28" s="36" t="str">
        <x:v>Advances in Emerging Digital Technologies for Sustainable Agriculture: Applications and Future Perspectives</x:v>
      </x:c>
      <x:c r="E28" s="36" t="str">
        <x:v>10.3390/earth7020063</x:v>
      </x:c>
      <x:c r="F28" s="36" t="str">
        <x:v>C</x:v>
      </x:c>
      <x:c r="G28" s="36" t="str">
        <x:v>High</x:v>
      </x:c>
      <x:c r="H28" s="36" t="str">
        <x:v>D</x:v>
      </x:c>
      <x:c r="I28" s="36" t="str">
        <x:v>D</x:v>
      </x:c>
      <x:c r="J28" s="36" t="str">
        <x:v>P</x:v>
      </x:c>
      <x:c r="K28" s="36" t="str">
        <x:v>D</x:v>
      </x:c>
      <x:c r="L28" s="36" t="str">
        <x:v>P</x:v>
      </x:c>
      <x:c r="M28" s="36" t="str">
        <x:v>P</x:v>
      </x:c>
      <x:c r="N28" s="36" t="str">
        <x:v>ND</x:v>
      </x:c>
      <x:c r="O28" s="36" t="str">
        <x:v>ND</x:v>
      </x:c>
      <x:c r="P28" s="36" t="str">
        <x:v>I23:P→D</x:v>
      </x:c>
      <x:c r="Q28" s="36" t="str">
        <x:v>S1_SCOPUS_ID107_Emerging_Digital_Technologies_Sustainable_Agriculture(1).pdf</x:v>
      </x:c>
      <x:c r="R28" s="36" t="str">
        <x:v>Systematic evidence-mapping review of 101 empirically validated studies on IoT, AI/ML, precision agriculture, robotics, blockchain and digital twins. The publication itself provides conceptual/review evidence, but it explicitly reconstructs several bounded primary-study technology examples and synthesizes implementation barriers involving connectivity, infrastructure, maintenance, interoperability, skills and long-term validation.</x:v>
      </x:c>
    </x:row>
    <x:row r="29">
      <x:c r="A29" s="36" t="str">
        <x:v>S1-114</x:v>
      </x:c>
      <x:c r="B29" s="36" t="str">
        <x:v>S1</x:v>
      </x:c>
      <x:c r="C29" s="36" t="n">
        <x:v>2025</x:v>
      </x:c>
      <x:c r="D29" s="36" t="str">
        <x:v>Analysing blockchain adoption in beekeeping: application of theoretical models and their effectiveness</x:v>
      </x:c>
      <x:c r="E29" s="36" t="str">
        <x:v>10.3389/fsufs.2025.1566341</x:v>
      </x:c>
      <x:c r="F29" s="36" t="str">
        <x:v>M</x:v>
      </x:c>
      <x:c r="G29" s="36" t="str">
        <x:v>High</x:v>
      </x:c>
      <x:c r="H29" s="36" t="str">
        <x:v>D</x:v>
      </x:c>
      <x:c r="I29" s="36" t="str">
        <x:v>D</x:v>
      </x:c>
      <x:c r="J29" s="36" t="str">
        <x:v>P</x:v>
      </x:c>
      <x:c r="K29" s="36" t="str">
        <x:v>ND</x:v>
      </x:c>
      <x:c r="L29" s="36" t="str">
        <x:v>P</x:v>
      </x:c>
      <x:c r="M29" s="36" t="str">
        <x:v>P</x:v>
      </x:c>
      <x:c r="N29" s="36" t="str">
        <x:v>ND</x:v>
      </x:c>
      <x:c r="O29" s="36" t="str">
        <x:v>ND</x:v>
      </x:c>
      <x:c r="P29" s="36" t="str">
        <x:v>I23:P→ND</x:v>
      </x:c>
      <x:c r="Q29" s="36" t="str">
        <x:v>S1_SCOPUS_ID114_Blockchain_Adoption_Beekeeping(1).pdf</x:v>
      </x:c>
      <x:c r="R29" s="36" t="str">
        <x:v>Mixed conceptual-empirical adoption study applying extended TPB and TAM models with a digital-maturity construct to 159 beekeepers in Spain, Türkiye and Tunisia. It empirically identifies adoption conditions and translates them into training, resource, usability and co-design implications, but it does not deploy or technically evaluate a configured blockchain traceability system.</x:v>
      </x:c>
    </x:row>
    <x:row r="30">
      <x:c r="A30" s="36" t="str">
        <x:v>S1-116</x:v>
      </x:c>
      <x:c r="B30" s="36" t="str">
        <x:v>S1</x:v>
      </x:c>
      <x:c r="C30" s="36" t="n">
        <x:v>2024</x:v>
      </x:c>
      <x:c r="D30" s="36" t="str">
        <x:v>Food security, the agriculture value chain, and digital transformation: The case of Jamaica’s agricultural business information system (ABIS)</x:v>
      </x:c>
      <x:c r="E30" s="36" t="str">
        <x:v>10.1016/j.techsoc.2024.102523</x:v>
      </x:c>
      <x:c r="F30" s="36" t="str">
        <x:v>E</x:v>
      </x:c>
      <x:c r="G30" s="36" t="str">
        <x:v>High</x:v>
      </x:c>
      <x:c r="H30" s="36" t="str">
        <x:v>D</x:v>
      </x:c>
      <x:c r="I30" s="36" t="str">
        <x:v>D</x:v>
      </x:c>
      <x:c r="J30" s="36" t="str">
        <x:v>D</x:v>
      </x:c>
      <x:c r="K30" s="36" t="str">
        <x:v>D</x:v>
      </x:c>
      <x:c r="L30" s="36" t="str">
        <x:v>D</x:v>
      </x:c>
      <x:c r="M30" s="36" t="str">
        <x:v>D</x:v>
      </x:c>
      <x:c r="N30" s="36" t="str">
        <x:v>ND</x:v>
      </x:c>
      <x:c r="O30" s="36" t="str">
        <x:v>P</x:v>
      </x:c>
      <x:c r="P30" s="36" t="str">
        <x:v>IM1:ND→P</x:v>
      </x:c>
      <x:c r="Q30" s="36" t="str">
        <x:v>S1_SCOPUS_ID116_Jamaica_ABIS_Digital_Transformation(1).pdf</x:v>
      </x:c>
      <x:c r="R30" s="36" t="str">
        <x:v>Empirical embedded single-case study of the deployed Jamaican ABIS platform using interviews, focus groups, observations and document analysis across farmers, extension officers, system managers, developers and funders. It documents operational barriers, support workarounds and qualitative deployment results, and provides an explicit event→diagnosis anchor for partial IM1 under the frozen v1.3 rules.</x:v>
      </x:c>
    </x:row>
    <x:row r="31">
      <x:c r="A31" s="36" t="str">
        <x:v>S1-117</x:v>
      </x:c>
      <x:c r="B31" s="36" t="str">
        <x:v>S1</x:v>
      </x:c>
      <x:c r="C31" s="36" t="n">
        <x:v>2025</x:v>
      </x:c>
      <x:c r="D31" s="36" t="str">
        <x:v>Supporting ecosystem for farmers’ food traceability participation: A systematic review</x:v>
      </x:c>
      <x:c r="E31" s="36" t="str">
        <x:v>10.1016/j.jafr.2025.102288</x:v>
      </x:c>
      <x:c r="F31" s="36" t="str">
        <x:v>C</x:v>
      </x:c>
      <x:c r="G31" s="36" t="str">
        <x:v>High</x:v>
      </x:c>
      <x:c r="H31" s="36" t="str">
        <x:v>D</x:v>
      </x:c>
      <x:c r="I31" s="36" t="str">
        <x:v>D</x:v>
      </x:c>
      <x:c r="J31" s="36" t="str">
        <x:v>P</x:v>
      </x:c>
      <x:c r="K31" s="36" t="str">
        <x:v>D</x:v>
      </x:c>
      <x:c r="L31" s="36" t="str">
        <x:v>P</x:v>
      </x:c>
      <x:c r="M31" s="36" t="str">
        <x:v>P</x:v>
      </x:c>
      <x:c r="N31" s="36" t="str">
        <x:v>ND</x:v>
      </x:c>
      <x:c r="O31" s="36" t="str">
        <x:v>P</x:v>
      </x:c>
      <x:c r="P31" s="36" t="str">
        <x:v>I23:P→D; IM1:ND→P</x:v>
      </x:c>
      <x:c r="Q31" s="36" t="str">
        <x:v>S1_SCOPUS_ID117_Food_Traceability_Supporting_Ecosystem(2).pdf</x:v>
      </x:c>
      <x:c r="R31" s="36" t="str">
        <x:v>Systematic review of 39 empirical studies on farmers’ participation in digital traceability. It synthesizes value/culture, technology, capability, data and data-sharing factors into the DMFTI. The review explicitly reconstructs bounded primary-study technology evaluations (including RFID cattle/beef traceability) and also contains a bounded continued-use example in which software updates caused renewed user confusion.</x:v>
      </x:c>
    </x:row>
    <x:row r="32">
      <x:c r="A32" s="36" t="str">
        <x:v>S1-130</x:v>
      </x:c>
      <x:c r="B32" s="36" t="str">
        <x:v>S1</x:v>
      </x:c>
      <x:c r="C32" s="36" t="n">
        <x:v>2024</x:v>
      </x:c>
      <x:c r="D32" s="36" t="str">
        <x:v>Practices, Challenges, and Future of Digital Transformation in Smallholder Agriculture: Insights from a Literature Review</x:v>
      </x:c>
      <x:c r="E32" s="36" t="str">
        <x:v>10.3390/agriculture14122193</x:v>
      </x:c>
      <x:c r="F32" s="36" t="str">
        <x:v>C</x:v>
      </x:c>
      <x:c r="G32" s="36" t="str">
        <x:v>High</x:v>
      </x:c>
      <x:c r="H32" s="36" t="str">
        <x:v>D</x:v>
      </x:c>
      <x:c r="I32" s="36" t="str">
        <x:v>D</x:v>
      </x:c>
      <x:c r="J32" s="36" t="str">
        <x:v>P</x:v>
      </x:c>
      <x:c r="K32" s="36" t="str">
        <x:v>P</x:v>
      </x:c>
      <x:c r="L32" s="36" t="str">
        <x:v>P</x:v>
      </x:c>
      <x:c r="M32" s="36" t="str">
        <x:v>P</x:v>
      </x:c>
      <x:c r="N32" s="36" t="str">
        <x:v>ND</x:v>
      </x:c>
      <x:c r="O32" s="36" t="str">
        <x:v>ND</x:v>
      </x:c>
      <x:c r="P32" s="36" t="str">
        <x:v>No change</x:v>
      </x:c>
      <x:c r="Q32" s="36" t="str">
        <x:v>S1_SCOPUS_ID130_Digital_Transformation_Smallholder_Agriculture(2).pdf</x:v>
      </x:c>
      <x:c r="R32" s="36" t="str">
        <x:v>Literature review organized around a government–technology–smallholder framework. It maps infrastructure, policy, usability, affordability, literacy, heterogeneity and sociocultural constraints to targeted interventions, and gives bounded examples of named digital services and tools, but does not reconstruct a complete technology evaluation/result chain or deployment-level learning cycle.</x:v>
      </x:c>
    </x:row>
    <x:row r="33">
      <x:c r="A33" s="36" t="str">
        <x:v>S2-005</x:v>
      </x:c>
      <x:c r="B33" s="36" t="str">
        <x:v>S2</x:v>
      </x:c>
      <x:c r="C33" s="36" t="n">
        <x:v>2026</x:v>
      </x:c>
      <x:c r="D33" s="36" t="str">
        <x:v>From IoT to AIoT: Evolving Agricultural Systems Through Intelligent Connectivity in Low-Income Countries</x:v>
      </x:c>
      <x:c r="E33" s="36" t="str">
        <x:v>10.3390/fi18020082</x:v>
      </x:c>
      <x:c r="F33" s="36" t="str">
        <x:v>C</x:v>
      </x:c>
      <x:c r="G33" s="36" t="str">
        <x:v>High</x:v>
      </x:c>
      <x:c r="H33" s="36" t="str">
        <x:v>D</x:v>
      </x:c>
      <x:c r="I33" s="36" t="str">
        <x:v>D</x:v>
      </x:c>
      <x:c r="J33" s="36" t="str">
        <x:v>P</x:v>
      </x:c>
      <x:c r="K33" s="36" t="str">
        <x:v>P</x:v>
      </x:c>
      <x:c r="L33" s="36" t="str">
        <x:v>P</x:v>
      </x:c>
      <x:c r="M33" s="36" t="str">
        <x:v>P</x:v>
      </x:c>
      <x:c r="N33" s="36" t="str">
        <x:v>ND</x:v>
      </x:c>
      <x:c r="O33" s="36" t="str">
        <x:v>ND</x:v>
      </x:c>
      <x:c r="P33" s="36" t="str">
        <x:v>No change</x:v>
      </x:c>
      <x:c r="Q33" s="36" t="str">
        <x:v>S2_SCOPUS_005_From_IoT_to_AIoT_Low_Income_Countries(2).pdf</x:v>
      </x:c>
      <x:c r="R33" s="36" t="str">
        <x:v>Systematic narrative review with PRISMA-based thematic synthesis focused on low-income and African agricultural contexts. It translates connectivity, energy, data, compute, affordability, capacity and governance constraints into a context-adapted AIoT reference architecture and summarizes bounded primary-study application examples, while the proposed integrated architecture itself remains unvalidated.</x:v>
      </x:c>
    </x:row>
    <x:row r="34">
      <x:c r="A34" s="36" t="str">
        <x:v>S2-006</x:v>
      </x:c>
      <x:c r="B34" s="36" t="str">
        <x:v>S2</x:v>
      </x:c>
      <x:c r="C34" s="36" t="n">
        <x:v>2025</x:v>
      </x:c>
      <x:c r="D34" s="36" t="str">
        <x:v>Synergizing IoT, AI, and blockchain for smart agriculture: Challenges, opportunities, and future directions</x:v>
      </x:c>
      <x:c r="E34" s="36" t="str">
        <x:v>10.1016/j.iot.2025.101778</x:v>
      </x:c>
      <x:c r="F34" s="36" t="str">
        <x:v>C</x:v>
      </x:c>
      <x:c r="G34" s="36" t="str">
        <x:v>High</x:v>
      </x:c>
      <x:c r="H34" s="36" t="str">
        <x:v>D</x:v>
      </x:c>
      <x:c r="I34" s="36" t="str">
        <x:v>D</x:v>
      </x:c>
      <x:c r="J34" s="36" t="str">
        <x:v>P</x:v>
      </x:c>
      <x:c r="K34" s="36" t="str">
        <x:v>P</x:v>
      </x:c>
      <x:c r="L34" s="36" t="str">
        <x:v>P</x:v>
      </x:c>
      <x:c r="M34" s="36" t="str">
        <x:v>P</x:v>
      </x:c>
      <x:c r="N34" s="36" t="str">
        <x:v>ND</x:v>
      </x:c>
      <x:c r="O34" s="36" t="str">
        <x:v>ND</x:v>
      </x:c>
      <x:c r="P34" s="36" t="str">
        <x:v>No change</x:v>
      </x:c>
      <x:c r="Q34" s="36" t="str">
        <x:v>S2_SCOPUS_006_Synergizing_IoT_AI_Blockchain_Smart_Agriculture(3).pdf</x:v>
      </x:c>
      <x:c r="R34" s="36" t="str">
        <x:v>Systematic PRISMA review of 35 studies on IoT, AI and blockchain integration in smart agriculture. It synthesizes practical applications, measurable impacts, communication/security issues and socio-technical barriers, and translates those barriers into mitigation and design requirements. The evidence remains review-level and heterogeneous; no bounded deployment learning cycle is reconstructed.</x:v>
      </x:c>
    </x:row>
    <x:row r="35">
      <x:c r="A35" s="36" t="str">
        <x:v>S2-007</x:v>
      </x:c>
      <x:c r="B35" s="36" t="str">
        <x:v>S2</x:v>
      </x:c>
      <x:c r="C35" s="36" t="n">
        <x:v>2025</x:v>
      </x:c>
      <x:c r="D35" s="36" t="str">
        <x:v>Meta Ag: An automatic agricultural contextual metadata collection app</x:v>
      </x:c>
      <x:c r="E35" s="36" t="str">
        <x:v>10.1016/j.atech.2025.101073</x:v>
      </x:c>
      <x:c r="F35" s="36" t="str">
        <x:v>E</x:v>
      </x:c>
      <x:c r="G35" s="36" t="str">
        <x:v>High</x:v>
      </x:c>
      <x:c r="H35" s="36" t="str">
        <x:v>D</x:v>
      </x:c>
      <x:c r="I35" s="36" t="str">
        <x:v>D</x:v>
      </x:c>
      <x:c r="J35" s="36" t="str">
        <x:v>D</x:v>
      </x:c>
      <x:c r="K35" s="36" t="str">
        <x:v>D</x:v>
      </x:c>
      <x:c r="L35" s="36" t="str">
        <x:v>D</x:v>
      </x:c>
      <x:c r="M35" s="36" t="str">
        <x:v>D</x:v>
      </x:c>
      <x:c r="N35" s="36" t="str">
        <x:v>ND</x:v>
      </x:c>
      <x:c r="O35" s="36" t="str">
        <x:v>P</x:v>
      </x:c>
      <x:c r="P35" s="36" t="str">
        <x:v>IM1:ND→P</x:v>
      </x:c>
      <x:c r="Q35" s="36" t="str">
        <x:v>S2_SCOPUS_007_Meta_Ag_Contextual_Metadata_App(1).pdf</x:v>
      </x:c>
      <x:c r="R35" s="36" t="str">
        <x:v>Empirical design-and-evaluation study of the open-source Meta Ag Android app for contextual field metadata. The configured app was tested by the research team in real Purdue ACRE fields and under constrained/offline conditions against manual timing and cloud-latency measures. A false-positive field event was explicitly diagnosed as caused by an incorrectly drawn geofence boundary, but no post-diagnosis correction and retest are reported.</x:v>
      </x:c>
    </x:row>
    <x:row r="36">
      <x:c r="A36" s="36" t="str">
        <x:v>S2-010</x:v>
      </x:c>
      <x:c r="B36" s="36" t="str">
        <x:v>S2</x:v>
      </x:c>
      <x:c r="C36" s="36" t="n">
        <x:v>2023</x:v>
      </x:c>
      <x:c r="D36" s="36" t="str">
        <x:v>Internet of Things in aquaculture: A review of the challenges and potential solutions based on current and future trends</x:v>
      </x:c>
      <x:c r="E36" s="36" t="str">
        <x:v>10.1016/j.atech.2023.100187</x:v>
      </x:c>
      <x:c r="F36" s="36" t="str">
        <x:v>C</x:v>
      </x:c>
      <x:c r="G36" s="36" t="str">
        <x:v>High</x:v>
      </x:c>
      <x:c r="H36" s="36" t="str">
        <x:v>D</x:v>
      </x:c>
      <x:c r="I36" s="36" t="str">
        <x:v>D</x:v>
      </x:c>
      <x:c r="J36" s="36" t="str">
        <x:v>P</x:v>
      </x:c>
      <x:c r="K36" s="36" t="str">
        <x:v>D</x:v>
      </x:c>
      <x:c r="L36" s="36" t="str">
        <x:v>P</x:v>
      </x:c>
      <x:c r="M36" s="36" t="str">
        <x:v>P</x:v>
      </x:c>
      <x:c r="N36" s="36" t="str">
        <x:v>ND</x:v>
      </x:c>
      <x:c r="O36" s="36" t="str">
        <x:v>ND</x:v>
      </x:c>
      <x:c r="P36" s="36" t="str">
        <x:v>I23:P→D</x:v>
      </x:c>
      <x:c r="Q36" s="36" t="str">
        <x:v>S2_SCOPUS_010_IoT_Aquaculture_Challenges_Solutions(2).pdf</x:v>
      </x:c>
      <x:c r="R36" s="36" t="str">
        <x:v>Review of 78 IoT/aquaculture manuscripts, including prototype and laboratory/proposal systems, organized around species/farm context and infrastructure-, data-, maintenance- and perception-related challenges. It explicitly translates operating conditions into design and continuity requirements and reconstructs bounded primary-study examples, including automatic water-quality correction, but does not document a closed deployment-learning cycle.</x:v>
      </x:c>
    </x:row>
    <x:row r="37">
      <x:c r="A37" s="36" t="str">
        <x:v>S2-011</x:v>
      </x:c>
      <x:c r="B37" s="36" t="str">
        <x:v>S2</x:v>
      </x:c>
      <x:c r="C37" s="36" t="n">
        <x:v>2024</x:v>
      </x:c>
      <x:c r="D37" s="36" t="str">
        <x:v>Resource-Efficient Ubiquitous Sensor Networks for Smart Agriculture: A Survey</x:v>
      </x:c>
      <x:c r="E37" s="36" t="str">
        <x:v>10.1109/ACCESS.2024.3516814</x:v>
      </x:c>
      <x:c r="F37" s="36" t="str">
        <x:v>C</x:v>
      </x:c>
      <x:c r="G37" s="36" t="str">
        <x:v>High</x:v>
      </x:c>
      <x:c r="H37" s="36" t="str">
        <x:v>D</x:v>
      </x:c>
      <x:c r="I37" s="36" t="str">
        <x:v>D</x:v>
      </x:c>
      <x:c r="J37" s="36" t="str">
        <x:v>P</x:v>
      </x:c>
      <x:c r="K37" s="36" t="str">
        <x:v>ND</x:v>
      </x:c>
      <x:c r="L37" s="36" t="str">
        <x:v>P</x:v>
      </x:c>
      <x:c r="M37" s="36" t="str">
        <x:v>P</x:v>
      </x:c>
      <x:c r="N37" s="36" t="str">
        <x:v>ND</x:v>
      </x:c>
      <x:c r="O37" s="36" t="str">
        <x:v>ND</x:v>
      </x:c>
      <x:c r="P37" s="36" t="str">
        <x:v>I23:P→ND</x:v>
      </x:c>
      <x:c r="Q37" s="36" t="str">
        <x:v>S2_SCOPUS_011_Resource_Efficient_Sensor_Networks_Survey(2).pdf</x:v>
      </x:c>
      <x:c r="R37" s="36" t="str">
        <x:v>Technical survey of resource-efficient ubiquitous sensor networks for smart agriculture. It explicitly translates field scale, environmental exposure, long operating periods, connectivity, timing, security and resource constraints into sensing, communication and processing requirements. The review remains architecture/category-level for I23 and does not reconstruct a bounded deployment-learning cycle.</x:v>
      </x:c>
    </x:row>
    <x:row r="38">
      <x:c r="A38" s="36" t="str">
        <x:v>S2-012</x:v>
      </x:c>
      <x:c r="B38" s="36" t="str">
        <x:v>S2</x:v>
      </x:c>
      <x:c r="C38" s="36" t="n">
        <x:v>2025</x:v>
      </x:c>
      <x:c r="D38" s="36" t="str">
        <x:v>The IoT and AI in Agriculture: The Time Is Now—A Systematic Review of Smart Sensing Technologies</x:v>
      </x:c>
      <x:c r="E38" s="36" t="str">
        <x:v>10.3390/s25123583</x:v>
      </x:c>
      <x:c r="F38" s="36" t="str">
        <x:v>C</x:v>
      </x:c>
      <x:c r="G38" s="36" t="str">
        <x:v>High</x:v>
      </x:c>
      <x:c r="H38" s="36" t="str">
        <x:v>D</x:v>
      </x:c>
      <x:c r="I38" s="36" t="str">
        <x:v>D</x:v>
      </x:c>
      <x:c r="J38" s="36" t="str">
        <x:v>P</x:v>
      </x:c>
      <x:c r="K38" s="36" t="str">
        <x:v>ND</x:v>
      </x:c>
      <x:c r="L38" s="36" t="str">
        <x:v>P</x:v>
      </x:c>
      <x:c r="M38" s="36" t="str">
        <x:v>P</x:v>
      </x:c>
      <x:c r="N38" s="36" t="str">
        <x:v>ND</x:v>
      </x:c>
      <x:c r="O38" s="36" t="str">
        <x:v>ND</x:v>
      </x:c>
      <x:c r="P38" s="36" t="str">
        <x:v>I23:P→ND</x:v>
      </x:c>
      <x:c r="Q38" s="36" t="str">
        <x:v>S2_SCOPUS_012_IoT_AI_Agriculture_Smart_Sensing_Review(3).pdf</x:v>
      </x:c>
      <x:c r="R38" s="36" t="str">
        <x:v>Systematic review of IoT- and AI-integrated sensing for arable crops and grasslands. It maps environmental variability, rural connectivity, interoperability, sensor durability, cost, skills, cybersecurity and governance constraints to context-aware deployment requirements. Its application tables aggregate technology classes and regional examples rather than preserving one bounded A2→A3 anchor.</x:v>
      </x:c>
    </x:row>
    <x:row r="39">
      <x:c r="A39" s="36" t="str">
        <x:v>S2-013</x:v>
      </x:c>
      <x:c r="B39" s="36" t="str">
        <x:v>S2</x:v>
      </x:c>
      <x:c r="C39" s="36" t="n">
        <x:v>2024</x:v>
      </x:c>
      <x:c r="D39" s="36" t="str">
        <x:v>Public irrigation decision support systems (IDSS) in Italy: Description, evaluation and national context overview</x:v>
      </x:c>
      <x:c r="E39" s="36" t="str">
        <x:v>10.1016/j.atech.2024.100564</x:v>
      </x:c>
      <x:c r="F39" s="36" t="str">
        <x:v>M</x:v>
      </x:c>
      <x:c r="G39" s="36" t="str">
        <x:v>High</x:v>
      </x:c>
      <x:c r="H39" s="36" t="str">
        <x:v>D</x:v>
      </x:c>
      <x:c r="I39" s="36" t="str">
        <x:v>D</x:v>
      </x:c>
      <x:c r="J39" s="36" t="str">
        <x:v>D</x:v>
      </x:c>
      <x:c r="K39" s="36" t="str">
        <x:v>D</x:v>
      </x:c>
      <x:c r="L39" s="36" t="str">
        <x:v>D</x:v>
      </x:c>
      <x:c r="M39" s="36" t="str">
        <x:v>D</x:v>
      </x:c>
      <x:c r="N39" s="36" t="str">
        <x:v>P</x:v>
      </x:c>
      <x:c r="O39" s="36" t="str">
        <x:v>P</x:v>
      </x:c>
      <x:c r="P39" s="36" t="str">
        <x:v>No change</x:v>
      </x:c>
      <x:c r="Q39" s="36" t="str">
        <x:v>S2_SCOPUS_013_Public_Irrigation_DSS_Italy(2).pdf</x:v>
      </x:c>
      <x:c r="R39" s="36" t="str">
        <x:v>Comparative evaluation of operational public irrigation DSS in Italy. It preserves bounded requirement→configured-capability→evaluation→result chains for named services such as IRRIFRAME and IRRISAT, documents named service providers and maintenance/continuity arrangements, and reports an operational accessibility problem attributed to recurrent service disruptions, supporting a partial IM1 event→diagnosis anchor.</x:v>
      </x:c>
    </x:row>
    <x:row r="40">
      <x:c r="A40" s="36" t="str">
        <x:v>S2-018</x:v>
      </x:c>
      <x:c r="B40" s="36" t="str">
        <x:v>S2</x:v>
      </x:c>
      <x:c r="C40" s="36" t="n">
        <x:v>2024</x:v>
      </x:c>
      <x:c r="D40" s="36" t="str">
        <x:v>Adaptive and predictive decision support system for irrigation scheduling: An approach integrating humans in the control loop</x:v>
      </x:c>
      <x:c r="E40" s="36" t="str">
        <x:v>10.1016/j.compag.2024.108640</x:v>
      </x:c>
      <x:c r="F40" s="36" t="str">
        <x:v>M</x:v>
      </x:c>
      <x:c r="G40" s="36" t="str">
        <x:v>High</x:v>
      </x:c>
      <x:c r="H40" s="36" t="str">
        <x:v>D</x:v>
      </x:c>
      <x:c r="I40" s="36" t="str">
        <x:v>D</x:v>
      </x:c>
      <x:c r="J40" s="36" t="str">
        <x:v>D</x:v>
      </x:c>
      <x:c r="K40" s="36" t="str">
        <x:v>D</x:v>
      </x:c>
      <x:c r="L40" s="36" t="str">
        <x:v>P</x:v>
      </x:c>
      <x:c r="M40" s="36" t="str">
        <x:v>P</x:v>
      </x:c>
      <x:c r="N40" s="36" t="str">
        <x:v>ND</x:v>
      </x:c>
      <x:c r="O40" s="36" t="str">
        <x:v>ND</x:v>
      </x:c>
      <x:c r="P40" s="36" t="str">
        <x:v>No change</x:v>
      </x:c>
      <x:c r="Q40" s="36" t="str">
        <x:v>S2_SCOPUS_018_Adaptive_Predictive_DSS_Irrigation(1).pdf</x:v>
      </x:c>
      <x:c r="R40" s="36" t="str">
        <x:v>Mixed design-and-evaluation study of an adaptive, predictive irrigation DSS that explicitly incorporates human operation. The configured control-oriented model, data processing, parameter estimation and feedback/feedforward control were evaluated with measurements from a commercial sweetcorn field in South Florida and simulated forecast/parameter uncertainty. The study reports strong model fit, soil-moisture regulation and potential water savings, while end-user implementation remains future work.</x:v>
      </x:c>
    </x:row>
    <x:row r="41">
      <x:c r="A41" s="36" t="str">
        <x:v>S2-022</x:v>
      </x:c>
      <x:c r="B41" s="36" t="str">
        <x:v>S2</x:v>
      </x:c>
      <x:c r="C41" s="36" t="n">
        <x:v>2024</x:v>
      </x:c>
      <x:c r="D41" s="36" t="str">
        <x:v>Promoting the Transition towards Agriculture 4.0: A Systematic Literature Review on Drivers and Barriers</x:v>
      </x:c>
      <x:c r="E41" s="36" t="str">
        <x:v>10.3390/su16062425</x:v>
      </x:c>
      <x:c r="F41" s="36" t="str">
        <x:v>C</x:v>
      </x:c>
      <x:c r="G41" s="36" t="str">
        <x:v>High</x:v>
      </x:c>
      <x:c r="H41" s="36" t="str">
        <x:v>D</x:v>
      </x:c>
      <x:c r="I41" s="36" t="str">
        <x:v>D</x:v>
      </x:c>
      <x:c r="J41" s="36" t="str">
        <x:v>P</x:v>
      </x:c>
      <x:c r="K41" s="36" t="str">
        <x:v>ND</x:v>
      </x:c>
      <x:c r="L41" s="36" t="str">
        <x:v>P</x:v>
      </x:c>
      <x:c r="M41" s="36" t="str">
        <x:v>P</x:v>
      </x:c>
      <x:c r="N41" s="36" t="str">
        <x:v>ND</x:v>
      </x:c>
      <x:c r="O41" s="36" t="str">
        <x:v>ND</x:v>
      </x:c>
      <x:c r="P41" s="36" t="str">
        <x:v>I23:P→ND</x:v>
      </x:c>
      <x:c r="Q41" s="36" t="str">
        <x:v>S2_SCOPUS_022_Agriculture_4_0_Drivers_Barriers_Review(1).pdf</x:v>
      </x:c>
      <x:c r="R41" s="36" t="str">
        <x:v>PRISMA systematic review of 42 empirical adoption studies. It synthesizes individual, economic, environmental, farm-related, institutional, technological and psychological drivers/barriers and translates them into implementation and support implications. The review is adoption/system-level and does not reconstruct a bounded application-requirement→specific configured-capability example for I23.</x:v>
      </x:c>
    </x:row>
    <x:row r="42">
      <x:c r="A42" s="36" t="str">
        <x:v>S2-024</x:v>
      </x:c>
      <x:c r="B42" s="36" t="str">
        <x:v>S2</x:v>
      </x:c>
      <x:c r="C42" s="36" t="n">
        <x:v>2025</x:v>
      </x:c>
      <x:c r="D42" s="36" t="str">
        <x:v>Real-time applications in perennial trees and vegetables – A review</x:v>
      </x:c>
      <x:c r="E42" s="36" t="str">
        <x:v>10.1016/j.atech.2025.100918</x:v>
      </x:c>
      <x:c r="F42" s="36" t="str">
        <x:v>C</x:v>
      </x:c>
      <x:c r="G42" s="36" t="str">
        <x:v>High</x:v>
      </x:c>
      <x:c r="H42" s="36" t="str">
        <x:v>D</x:v>
      </x:c>
      <x:c r="I42" s="36" t="str">
        <x:v>D</x:v>
      </x:c>
      <x:c r="J42" s="36" t="str">
        <x:v>D</x:v>
      </x:c>
      <x:c r="K42" s="36" t="str">
        <x:v>D</x:v>
      </x:c>
      <x:c r="L42" s="36" t="str">
        <x:v>P</x:v>
      </x:c>
      <x:c r="M42" s="36" t="str">
        <x:v>P</x:v>
      </x:c>
      <x:c r="N42" s="36" t="str">
        <x:v>ND</x:v>
      </x:c>
      <x:c r="O42" s="36" t="str">
        <x:v>P</x:v>
      </x:c>
      <x:c r="P42" s="36" t="str">
        <x:v>IM1:ND→P</x:v>
      </x:c>
      <x:c r="Q42" s="36" t="str">
        <x:v>S2_SCOPUS_024_Real_Time_Applications_Perennial_Vegetables_Review(3).pdf</x:v>
      </x:c>
      <x:c r="R42" s="36" t="str">
        <x:v>Structured review of experimental real-time automation in crop protection, fertilization, weeding, harvesting and crop-load management. It explicitly reconstructs bounded sensor–controller–actuator examples with field evaluations and task-specific results. A bounded LiDAR variable-rate spraying example also reports over-application in small canopy volumes and explicitly attributes it to the imposed minimum flow-rate constraint, satisfying the frozen v1.3 IM1=P event→diagnosis anchor but not a change/retest cycle.</x:v>
      </x:c>
    </x:row>
    <x:row r="43">
      <x:c r="A43" s="36" t="str">
        <x:v>S2-026</x:v>
      </x:c>
      <x:c r="B43" s="36" t="str">
        <x:v>S2</x:v>
      </x:c>
      <x:c r="C43" s="36" t="n">
        <x:v>2023</x:v>
      </x:c>
      <x:c r="D43" s="36" t="str">
        <x:v>Creating shared value(s) from On-Farm Experimentation: ten key lessons learned from the development of the SoYield® digital solution in Africa</x:v>
      </x:c>
      <x:c r="E43" s="36" t="str">
        <x:v>10.1007/s13593-023-00888-7</x:v>
      </x:c>
      <x:c r="F43" s="36" t="str">
        <x:v>M</x:v>
      </x:c>
      <x:c r="G43" s="36" t="str">
        <x:v>High</x:v>
      </x:c>
      <x:c r="H43" s="36" t="str">
        <x:v>D</x:v>
      </x:c>
      <x:c r="I43" s="36" t="str">
        <x:v>D</x:v>
      </x:c>
      <x:c r="J43" s="36" t="str">
        <x:v>D</x:v>
      </x:c>
      <x:c r="K43" s="36" t="str">
        <x:v>D</x:v>
      </x:c>
      <x:c r="L43" s="36" t="str">
        <x:v>D</x:v>
      </x:c>
      <x:c r="M43" s="36" t="str">
        <x:v>D</x:v>
      </x:c>
      <x:c r="N43" s="36" t="str">
        <x:v>D</x:v>
      </x:c>
      <x:c r="O43" s="36" t="str">
        <x:v>D</x:v>
      </x:c>
      <x:c r="P43" s="36" t="str">
        <x:v>No change</x:v>
      </x:c>
      <x:c r="Q43" s="36" t="str">
        <x:v>S2_SCOPUS_026_SoYield_On_Farm_Experimentation(1).pdf</x:v>
      </x:c>
      <x:c r="R43" s="36" t="str">
        <x:v>Mixed longitudinal OFE case and reflexive analysis of the SoYield® DSS development. The paper documents user/context requirements, configured digital capabilities, repeated field beta-testing, formal partnership/support arrangements, and explicit iterative learning in which user feedback and diagnosed usability/back-end issues were incorporated into subsequent beta versions and retested.</x:v>
      </x:c>
    </x:row>
    <x:row r="44">
      <x:c r="A44" s="36" t="str">
        <x:v>S2-027</x:v>
      </x:c>
      <x:c r="B44" s="36" t="str">
        <x:v>S2</x:v>
      </x:c>
      <x:c r="C44" s="36" t="n">
        <x:v>2022</x:v>
      </x:c>
      <x:c r="D44" s="36" t="str">
        <x:v>Agricultural information systems acceptance and continuance in rural communities: A consumption values perspective</x:v>
      </x:c>
      <x:c r="E44" s="36" t="str">
        <x:v>10.1016/j.techsoc.2022.101934</x:v>
      </x:c>
      <x:c r="F44" s="36" t="str">
        <x:v>M</x:v>
      </x:c>
      <x:c r="G44" s="36" t="str">
        <x:v>High</x:v>
      </x:c>
      <x:c r="H44" s="36" t="str">
        <x:v>D</x:v>
      </x:c>
      <x:c r="I44" s="36" t="str">
        <x:v>D</x:v>
      </x:c>
      <x:c r="J44" s="36" t="str">
        <x:v>P</x:v>
      </x:c>
      <x:c r="K44" s="36" t="str">
        <x:v>ND</x:v>
      </x:c>
      <x:c r="L44" s="36" t="str">
        <x:v>P</x:v>
      </x:c>
      <x:c r="M44" s="36" t="str">
        <x:v>P</x:v>
      </x:c>
      <x:c r="N44" s="36" t="str">
        <x:v>ND</x:v>
      </x:c>
      <x:c r="O44" s="36" t="str">
        <x:v>ND</x:v>
      </x:c>
      <x:c r="P44" s="36" t="str">
        <x:v>I23:P→ND</x:v>
      </x:c>
      <x:c r="Q44" s="36" t="str">
        <x:v>S2_SCOPUS_027_AIS_Acceptance_Continuance_Rural(1).pdf</x:v>
      </x:c>
      <x:c r="R44" s="36" t="str">
        <x:v>Mixed theoretical-empirical study using Consumption Values Theory, the IS Continuance Model and FsQCA on 129 rural Ghanaian farmers who had used agricultural information systems. It translates user-context conditions into implementation/support requirements and documents the role of usability, farmer-group/family support and donor/technical support, but it does not reconstruct a bounded application requirement linked to one specific configured AIS capability or a deployment-learning cycle.</x:v>
      </x:c>
    </x:row>
    <x:row r="45">
      <x:c r="A45" s="36" t="str">
        <x:v>S2-028</x:v>
      </x:c>
      <x:c r="B45" s="36" t="str">
        <x:v>S2</x:v>
      </x:c>
      <x:c r="C45" s="36" t="n">
        <x:v>2026</x:v>
      </x:c>
      <x:c r="D45" s="36" t="str">
        <x:v>Internet of Things-enabled smart irrigation systems for precision water management: A systematic review</x:v>
      </x:c>
      <x:c r="E45" s="36" t="str">
        <x:v>10.1016/j.agwat.2026.110615</x:v>
      </x:c>
      <x:c r="F45" s="36" t="str">
        <x:v>C</x:v>
      </x:c>
      <x:c r="G45" s="36" t="str">
        <x:v>High</x:v>
      </x:c>
      <x:c r="H45" s="36" t="str">
        <x:v>D</x:v>
      </x:c>
      <x:c r="I45" s="36" t="str">
        <x:v>D</x:v>
      </x:c>
      <x:c r="J45" s="36" t="str">
        <x:v>D</x:v>
      </x:c>
      <x:c r="K45" s="36" t="str">
        <x:v>D</x:v>
      </x:c>
      <x:c r="L45" s="36" t="str">
        <x:v>P</x:v>
      </x:c>
      <x:c r="M45" s="36" t="str">
        <x:v>P</x:v>
      </x:c>
      <x:c r="N45" s="36" t="str">
        <x:v>ND</x:v>
      </x:c>
      <x:c r="O45" s="36" t="str">
        <x:v>P</x:v>
      </x:c>
      <x:c r="P45" s="36" t="str">
        <x:v>IM1:ND→P</x:v>
      </x:c>
      <x:c r="Q45" s="36" t="str">
        <x:v>S2_SCOPUS_028_IoT_Smart_Irrigation_Systematic_Review(1).pdf</x:v>
      </x:c>
      <x:c r="R45" s="36" t="str">
        <x:v>PRISMA systematic review of 50 primary studies on IoT-enabled smart irrigation. It synthesizes deployment conditions, architecture, sensing, communications, DSS logic, quantitative water/yield outcomes and support barriers. The review explicitly reconstructs bounded primary-study examples sufficient for I23=D and a bounded tomato-DSS field example in which severe thermal stress exposed a limitation diagnosed as insufficient heat-stress sensitivity, supporting IM1=P but not a closed change/retest cycle.</x:v>
      </x:c>
    </x:row>
    <x:row r="46">
      <x:c r="A46" s="36" t="str">
        <x:v>S2-029</x:v>
      </x:c>
      <x:c r="B46" s="36" t="str">
        <x:v>S2</x:v>
      </x:c>
      <x:c r="C46" s="36" t="n">
        <x:v>2019</x:v>
      </x:c>
      <x:c r="D46" s="36" t="str">
        <x:v>Processing and filtering of leaf area index time series assessed by in-situ wireless sensor networks</x:v>
      </x:c>
      <x:c r="E46" s="36" t="str">
        <x:v>10.1016/j.compag.2019.104867</x:v>
      </x:c>
      <x:c r="F46" s="36" t="str">
        <x:v>E</x:v>
      </x:c>
      <x:c r="G46" s="36" t="str">
        <x:v>High</x:v>
      </x:c>
      <x:c r="H46" s="36" t="str">
        <x:v>D</x:v>
      </x:c>
      <x:c r="I46" s="36" t="str">
        <x:v>D</x:v>
      </x:c>
      <x:c r="J46" s="36" t="str">
        <x:v>D</x:v>
      </x:c>
      <x:c r="K46" s="36" t="str">
        <x:v>D</x:v>
      </x:c>
      <x:c r="L46" s="36" t="str">
        <x:v>D</x:v>
      </x:c>
      <x:c r="M46" s="36" t="str">
        <x:v>D</x:v>
      </x:c>
      <x:c r="N46" s="36" t="str">
        <x:v>D</x:v>
      </x:c>
      <x:c r="O46" s="36" t="str">
        <x:v>D</x:v>
      </x:c>
      <x:c r="P46" s="36" t="str">
        <x:v>No change</x:v>
      </x:c>
      <x:c r="Q46" s="36" t="str">
        <x:v>S2_SCOPUS_029_LAI_Time_Series_In_Situ_WSN(2).pdf</x:v>
      </x:c>
      <x:c r="R46" s="36" t="str">
        <x:v>Empirical 74-day field deployment of an 11-node wireless sensor network for continuous LAI monitoring in wheat under contrasting water regimes. The paper develops and evaluates a processing/filtering chain against SunScan reference measurements and documents real field failures in software, power supply and sensor sealing together with corrective actions and subsequent restored data behavior.</x:v>
      </x:c>
    </x:row>
    <x:row r="47">
      <x:c r="A47" s="36" t="str">
        <x:v>S2-030</x:v>
      </x:c>
      <x:c r="B47" s="36" t="str">
        <x:v>S2</x:v>
      </x:c>
      <x:c r="C47" s="36" t="n">
        <x:v>2024</x:v>
      </x:c>
      <x:c r="D47" s="36" t="str">
        <x:v>Improving decision support systems with machine learning: Identifying barriers to adoption</x:v>
      </x:c>
      <x:c r="E47" s="36" t="str">
        <x:v>10.1002/agj2.21432</x:v>
      </x:c>
      <x:c r="F47" s="36" t="str">
        <x:v>C</x:v>
      </x:c>
      <x:c r="G47" s="36" t="str">
        <x:v>High</x:v>
      </x:c>
      <x:c r="H47" s="36" t="str">
        <x:v>D</x:v>
      </x:c>
      <x:c r="I47" s="36" t="str">
        <x:v>D</x:v>
      </x:c>
      <x:c r="J47" s="36" t="str">
        <x:v>D</x:v>
      </x:c>
      <x:c r="K47" s="36" t="str">
        <x:v>D</x:v>
      </x:c>
      <x:c r="L47" s="36" t="str">
        <x:v>P</x:v>
      </x:c>
      <x:c r="M47" s="36" t="str">
        <x:v>P</x:v>
      </x:c>
      <x:c r="N47" s="36" t="str">
        <x:v>P</x:v>
      </x:c>
      <x:c r="O47" s="36" t="str">
        <x:v>P</x:v>
      </x:c>
      <x:c r="P47" s="36" t="str">
        <x:v>No change</x:v>
      </x:c>
      <x:c r="Q47" s="36" t="str">
        <x:v>S2_SCOPUS_030_DSS_Machine_Learning_Barriers_Adoption(2).pdf</x:v>
      </x:c>
      <x:c r="R47" s="36" t="str">
        <x:v>Forum/synthesis article on barriers to sustained DSS adoption in precision agriculture. It translates financial, trust, data-governance and workforce constraints into implementation requirements and reconstructs bounded successful and unsuccessful DSS cases. Vite.net supports a complete I23 chain, while the FEEDMAN case provides an operational abandonment/failure event with an explicit causal interpretation but no documented diagnosis-driven modification and retest.</x:v>
      </x:c>
    </x:row>
    <x:row r="48">
      <x:c r="A48" s="36" t="str">
        <x:v>S2-031</x:v>
      </x:c>
      <x:c r="B48" s="36" t="str">
        <x:v>S2</x:v>
      </x:c>
      <x:c r="C48" s="36" t="n">
        <x:v>2026</x:v>
      </x:c>
      <x:c r="D48" s="36" t="str">
        <x:v>Agricultural digital twin for smart farming: A review</x:v>
      </x:c>
      <x:c r="E48" s="36" t="str">
        <x:v>10.1016/j.grets.2025.100299</x:v>
      </x:c>
      <x:c r="F48" s="36" t="str">
        <x:v>C</x:v>
      </x:c>
      <x:c r="G48" s="36" t="str">
        <x:v>High</x:v>
      </x:c>
      <x:c r="H48" s="36" t="str">
        <x:v>D</x:v>
      </x:c>
      <x:c r="I48" s="36" t="str">
        <x:v>D</x:v>
      </x:c>
      <x:c r="J48" s="36" t="str">
        <x:v>P</x:v>
      </x:c>
      <x:c r="K48" s="36" t="str">
        <x:v>D</x:v>
      </x:c>
      <x:c r="L48" s="36" t="str">
        <x:v>D</x:v>
      </x:c>
      <x:c r="M48" s="36" t="str">
        <x:v>D</x:v>
      </x:c>
      <x:c r="N48" s="36" t="str">
        <x:v>ND</x:v>
      </x:c>
      <x:c r="O48" s="36" t="str">
        <x:v>ND</x:v>
      </x:c>
      <x:c r="P48" s="36" t="str">
        <x:v>I23:P→D</x:v>
      </x:c>
      <x:c r="Q48" s="36" t="str">
        <x:v>S2_SCOPUS_031_Agricultural_Digital_Twin_Review(1).pdf</x:v>
      </x:c>
      <x:c r="R48" s="36" t="str">
        <x:v>Comprehensive review of agricultural digital twins, enabling technologies, application areas and implementation challenges. It directly maps latency, connectivity, lifecycle, cost and interoperability conditions to technical/support requirements. Under the frozen v1.3 I23 clarification, the review also reconstructs a bounded Li et al. subsoiling example containing a specific operational problem, configured DT capability, field/indoor evaluation and criterion-linked results; lifecycle/vendor-support evidence closes I3M, while routine DT feedback is not IM1.</x:v>
      </x:c>
    </x:row>
    <x:row r="49">
      <x:c r="A49" s="36" t="str">
        <x:v>S2-033</x:v>
      </x:c>
      <x:c r="B49" s="36" t="str">
        <x:v>S2</x:v>
      </x:c>
      <x:c r="C49" s="36" t="n">
        <x:v>2026</x:v>
      </x:c>
      <x:c r="D49" s="36" t="str">
        <x:v>IoT-Based Precision Irrigation System Featuring Multi-Sensor Monitoring and Scheduled Automated Water-Control Gates for Rice Production</x:v>
      </x:c>
      <x:c r="E49" s="36" t="str">
        <x:v>10.3390/s26092692</x:v>
      </x:c>
      <x:c r="F49" s="36" t="str">
        <x:v>E</x:v>
      </x:c>
      <x:c r="G49" s="36" t="str">
        <x:v>High</x:v>
      </x:c>
      <x:c r="H49" s="36" t="str">
        <x:v>D</x:v>
      </x:c>
      <x:c r="I49" s="36" t="str">
        <x:v>D</x:v>
      </x:c>
      <x:c r="J49" s="36" t="str">
        <x:v>D</x:v>
      </x:c>
      <x:c r="K49" s="36" t="str">
        <x:v>D</x:v>
      </x:c>
      <x:c r="L49" s="36" t="str">
        <x:v>D</x:v>
      </x:c>
      <x:c r="M49" s="36" t="str">
        <x:v>D</x:v>
      </x:c>
      <x:c r="N49" s="36" t="str">
        <x:v>ND</x:v>
      </x:c>
      <x:c r="O49" s="36" t="str">
        <x:v>ND</x:v>
      </x:c>
      <x:c r="P49" s="36" t="str">
        <x:v>No change</x:v>
      </x:c>
      <x:c r="Q49" s="36" t="str">
        <x:v>S2_SCOPUS_033_IoT_Precision_Irrigation_Rice(1).pdf</x:v>
      </x:c>
      <x:c r="R49" s="36" t="str">
        <x:v>Empirical 100-day field deployment of a multi-plot IoT AWD irrigation system for rice. The configured system integrates calibrated soil-moisture and water-level sensing, Arduino controllers, GSM/GPRS communication, automatic plot gates and a centralized pump. It directly tests agronomic/resource outcomes and operational continuity, including temporary GPRS failures, a pre-existing 30-s GSM reset mechanism, 210/210 successful SMS commands and 100% gate-operation success.</x:v>
      </x:c>
    </x:row>
    <x:row r="50">
      <x:c r="A50" s="36" t="str">
        <x:v>S2-034</x:v>
      </x:c>
      <x:c r="B50" s="36" t="str">
        <x:v>S2</x:v>
      </x:c>
      <x:c r="C50" s="36" t="n">
        <x:v>2025</x:v>
      </x:c>
      <x:c r="D50" s="36" t="str">
        <x:v>Internet of Things-Based Smart Precision Farming in Soilless Agriculture: Opportunities and Challenges for Global Food Security</x:v>
      </x:c>
      <x:c r="E50" s="36" t="str">
        <x:v>10.1109/ACCESS.2025.3540317</x:v>
      </x:c>
      <x:c r="F50" s="36" t="str">
        <x:v>C</x:v>
      </x:c>
      <x:c r="G50" s="36" t="str">
        <x:v>High</x:v>
      </x:c>
      <x:c r="H50" s="36" t="str">
        <x:v>D</x:v>
      </x:c>
      <x:c r="I50" s="36" t="str">
        <x:v>D</x:v>
      </x:c>
      <x:c r="J50" s="36" t="str">
        <x:v>P</x:v>
      </x:c>
      <x:c r="K50" s="36" t="str">
        <x:v>D</x:v>
      </x:c>
      <x:c r="L50" s="36" t="str">
        <x:v>P</x:v>
      </x:c>
      <x:c r="M50" s="36" t="str">
        <x:v>P</x:v>
      </x:c>
      <x:c r="N50" s="36" t="str">
        <x:v>ND</x:v>
      </x:c>
      <x:c r="O50" s="36" t="str">
        <x:v>ND</x:v>
      </x:c>
      <x:c r="P50" s="36" t="str">
        <x:v>I23:P→D</x:v>
      </x:c>
      <x:c r="Q50" s="36" t="str">
        <x:v>S2_SCOPUS_034_IoT_Soilless_Agriculture_Review(1).pdf</x:v>
      </x:c>
      <x:c r="R50" s="36" t="str">
        <x:v>Comprehensive review and bibliometric/comparative synthesis of IoT-enabled soilless agriculture. It directly maps crop, nutrient, energy, maintenance and skill constraints to monitoring, actuation and support requirements. Under the frozen v1.3 review/bounded-subexample rule, the review explicitly reconstructs a smart greenhouse/hydroponic-aeroponic example tested on Batavia lettuce with automatic environmental control and quantified water, energy, productivity and cultivation-time outcomes, supporting I23=D.</x:v>
      </x:c>
    </x:row>
    <x:row r="51">
      <x:c r="A51" s="36" t="str">
        <x:v>S2-036</x:v>
      </x:c>
      <x:c r="B51" s="36" t="str">
        <x:v>S2</x:v>
      </x:c>
      <x:c r="C51" s="36" t="n">
        <x:v>2024</x:v>
      </x:c>
      <x:c r="D51" s="36" t="str">
        <x:v>Powering Agriculture IoT Sensors Using Natural Temperature Differences Between Air and Soil: Measurement and Evaluation</x:v>
      </x:c>
      <x:c r="E51" s="36" t="str">
        <x:v>10.3390/s24237687</x:v>
      </x:c>
      <x:c r="F51" s="36" t="str">
        <x:v>E</x:v>
      </x:c>
      <x:c r="G51" s="36" t="str">
        <x:v>High</x:v>
      </x:c>
      <x:c r="H51" s="36" t="str">
        <x:v>D</x:v>
      </x:c>
      <x:c r="I51" s="36" t="str">
        <x:v>D</x:v>
      </x:c>
      <x:c r="J51" s="36" t="str">
        <x:v>P</x:v>
      </x:c>
      <x:c r="K51" s="36" t="str">
        <x:v>P</x:v>
      </x:c>
      <x:c r="L51" s="36" t="str">
        <x:v>P</x:v>
      </x:c>
      <x:c r="M51" s="36" t="str">
        <x:v>P</x:v>
      </x:c>
      <x:c r="N51" s="36" t="str">
        <x:v>ND</x:v>
      </x:c>
      <x:c r="O51" s="36" t="str">
        <x:v>ND</x:v>
      </x:c>
      <x:c r="P51" s="36" t="str">
        <x:v>No change</x:v>
      </x:c>
      <x:c r="Q51" s="36" t="str">
        <x:v>S2_SCOPUS_036_Powering_Agriculture_IoT_Sensors(1).pdf</x:v>
      </x:c>
      <x:c r="R51" s="36" t="str">
        <x:v>Empirical 12-month field evaluation of a thermoelectric energy-harvesting prototype intended to power agricultural IoT sensor nodes. The study measures raw TEG energy and models post-DC/DC usable energy, then compares the available energy with published WSN transaction budgets. It documents winter voltage limitations and environmental exposure risks, but no actual WSN link was integrated and proposed redesigns remained future work.</x:v>
      </x:c>
    </x:row>
  </x:sheetData>
  <x:mergeCells>
    <x:mergeCell ref="A1:R1"/>
  </x:mergeCells>
  <x:conditionalFormatting sqref="I4:I51">
    <x:cfRule type="expression" dxfId="0" priority="1">
      <x:formula>I4="D"</x:formula>
    </x:cfRule>
    <x:cfRule type="expression" dxfId="1" priority="2">
      <x:formula>I4="P"</x:formula>
    </x:cfRule>
    <x:cfRule type="expression" dxfId="2" priority="3">
      <x:formula>I4="ND"</x:formula>
    </x:cfRule>
  </x:conditionalFormatting>
  <x:conditionalFormatting sqref="K4:K51">
    <x:cfRule type="expression" dxfId="3" priority="4">
      <x:formula>K4="D"</x:formula>
    </x:cfRule>
    <x:cfRule type="expression" dxfId="4" priority="5">
      <x:formula>K4="P"</x:formula>
    </x:cfRule>
    <x:cfRule type="expression" dxfId="5" priority="6">
      <x:formula>K4="ND"</x:formula>
    </x:cfRule>
  </x:conditionalFormatting>
  <x:conditionalFormatting sqref="M4:M51">
    <x:cfRule type="expression" dxfId="6" priority="7">
      <x:formula>M4="D"</x:formula>
    </x:cfRule>
    <x:cfRule type="expression" dxfId="7" priority="8">
      <x:formula>M4="P"</x:formula>
    </x:cfRule>
    <x:cfRule type="expression" dxfId="8" priority="9">
      <x:formula>M4="ND"</x:formula>
    </x:cfRule>
  </x:conditionalFormatting>
  <x:conditionalFormatting sqref="O4:O51">
    <x:cfRule type="expression" dxfId="9" priority="10">
      <x:formula>O4="D"</x:formula>
    </x:cfRule>
    <x:cfRule type="expression" dxfId="10" priority="11">
      <x:formula>O4="P"</x:formula>
    </x:cfRule>
    <x:cfRule type="expression" dxfId="11" priority="12">
      <x:formula>O4="ND"</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8" hidden="0" customWidth="1"/>
    <x:col min="9" max="9" width="15" hidden="0" customWidth="1"/>
    <x:col min="10" max="10" width="75" hidden="0" customWidth="1"/>
    <x:col min="11" max="11" width="10" hidden="0" customWidth="1"/>
    <x:col min="12" max="12" width="10" hidden="0" customWidth="1"/>
    <x:col min="13" max="13" width="10" hidden="0" customWidth="1"/>
    <x:col min="14" max="14" width="10" hidden="0" customWidth="1"/>
  </x:cols>
  <x:sheetData>
    <x:row r="1">
      <x:c r="A1" s="42" t="str">
        <x:v>Final interface documentation coverage after Codebook v1.3 recoding</x:v>
      </x:c>
      <x:c r="B1" s="42"/>
      <x:c r="C1" s="42"/>
      <x:c r="D1" s="42"/>
      <x:c r="E1" s="42"/>
      <x:c r="F1" s="42"/>
      <x:c r="G1" s="42"/>
      <x:c r="H1" s="42"/>
      <x:c r="I1" s="42"/>
      <x:c r="J1" s="42"/>
      <x:c r="K1" s="42"/>
      <x:c r="L1" s="42"/>
      <x:c r="M1" s="42"/>
      <x:c r="N1" s="42"/>
      <x:c r="O1" s="43"/>
      <x:c r="P1" s="43"/>
      <x:c r="Q1" s="43"/>
      <x:c r="R1" s="43"/>
      <x:c r="S1" s="43"/>
      <x:c r="T1" s="43"/>
      <x:c r="U1" s="43"/>
      <x:c r="V1" s="43"/>
      <x:c r="W1" s="43"/>
      <x:c r="X1" s="43"/>
      <x:c r="Y1" s="43"/>
      <x:c r="Z1" s="43"/>
    </x:row>
    <x:row r="2">
      <x:c r="A2" s="44" t="str">
        <x:v>Recommended manuscript use: report S1 and S2 as complementary structured searches, then provide the integrated 48-study synthesis. D/P/ND describe documentation traceability/completeness only.</x:v>
      </x:c>
      <x:c r="B2" s="44"/>
      <x:c r="C2" s="44"/>
      <x:c r="D2" s="44"/>
      <x:c r="E2" s="44"/>
      <x:c r="F2" s="44"/>
      <x:c r="G2" s="44"/>
      <x:c r="H2" s="44"/>
      <x:c r="I2" s="44"/>
      <x:c r="J2" s="44"/>
      <x:c r="K2" s="44"/>
      <x:c r="L2" s="44"/>
      <x:c r="M2" s="44"/>
      <x:c r="N2" s="44"/>
      <x:c r="O2" s="43"/>
      <x:c r="P2" s="43"/>
      <x:c r="Q2" s="43"/>
      <x:c r="R2" s="43"/>
      <x:c r="S2" s="43"/>
      <x:c r="T2" s="43"/>
      <x:c r="U2" s="43"/>
      <x:c r="V2" s="43"/>
      <x:c r="W2" s="43"/>
      <x:c r="X2" s="43"/>
      <x:c r="Y2" s="43"/>
      <x:c r="Z2" s="43"/>
    </x:row>
    <x:row r="3">
      <x:c r="A3" s="45"/>
      <x:c r="B3" s="45"/>
      <x:c r="C3" s="45"/>
      <x:c r="D3" s="45"/>
      <x:c r="E3" s="45"/>
      <x:c r="F3" s="45"/>
      <x:c r="G3" s="45"/>
      <x:c r="H3" s="45"/>
      <x:c r="I3" s="45"/>
      <x:c r="J3" s="45"/>
      <x:c r="K3" s="45"/>
      <x:c r="L3" s="45"/>
      <x:c r="M3" s="45"/>
      <x:c r="N3" s="45"/>
      <x:c r="O3" s="43"/>
      <x:c r="P3" s="43"/>
      <x:c r="Q3" s="43"/>
      <x:c r="R3" s="43"/>
      <x:c r="S3" s="43"/>
      <x:c r="T3" s="43"/>
      <x:c r="U3" s="43"/>
      <x:c r="V3" s="43"/>
      <x:c r="W3" s="43"/>
      <x:c r="X3" s="43"/>
      <x:c r="Y3" s="43"/>
      <x:c r="Z3" s="43"/>
    </x:row>
    <x:row r="4">
      <x:c r="A4" s="46" t="str">
        <x:v>Corpus</x:v>
      </x:c>
      <x:c r="B4" s="46" t="str">
        <x:v>N</x:v>
      </x:c>
      <x:c r="C4" s="46" t="str">
        <x:v>I12 D</x:v>
      </x:c>
      <x:c r="D4" s="46" t="str">
        <x:v>I12 P</x:v>
      </x:c>
      <x:c r="E4" s="46" t="str">
        <x:v>I12 ND</x:v>
      </x:c>
      <x:c r="F4" s="46" t="str">
        <x:v>I23 D</x:v>
      </x:c>
      <x:c r="G4" s="46" t="str">
        <x:v>I23 P</x:v>
      </x:c>
      <x:c r="H4" s="46" t="str">
        <x:v>I23 ND</x:v>
      </x:c>
      <x:c r="I4" s="46" t="str">
        <x:v>I3M D</x:v>
      </x:c>
      <x:c r="J4" s="46" t="str">
        <x:v>I3M P</x:v>
      </x:c>
      <x:c r="K4" s="46" t="str">
        <x:v>I3M ND</x:v>
      </x:c>
      <x:c r="L4" s="46" t="str">
        <x:v>IM1 D</x:v>
      </x:c>
      <x:c r="M4" s="46" t="str">
        <x:v>IM1 P</x:v>
      </x:c>
      <x:c r="N4" s="46" t="str">
        <x:v>IM1 ND</x:v>
      </x:c>
      <x:c r="O4" s="43"/>
      <x:c r="P4" s="43"/>
      <x:c r="Q4" s="43"/>
      <x:c r="R4" s="43"/>
      <x:c r="S4" s="43"/>
      <x:c r="T4" s="43"/>
      <x:c r="U4" s="43"/>
      <x:c r="V4" s="43"/>
      <x:c r="W4" s="43"/>
      <x:c r="X4" s="43"/>
      <x:c r="Y4" s="43"/>
      <x:c r="Z4" s="43"/>
    </x:row>
    <x:row r="5">
      <x:c r="A5" s="45" t="str">
        <x:v>S1</x:v>
      </x:c>
      <x:c r="B5" s="45" t="n">
        <x:v>29</x:v>
      </x:c>
      <x:c r="C5" s="45" t="n">
        <x:f>COUNTIFS(Base_48_v1.3!$B$4:$B$51,"S1",Base_48_v1.3!$I$4:$I$51,"D")</x:f>
        <x:v>26</x:v>
      </x:c>
      <x:c r="D5" s="45" t="n">
        <x:f>COUNTIFS(Base_48_v1.3!$B$4:$B$51,"S1",Base_48_v1.3!$I$4:$I$51,"P")</x:f>
        <x:v>3</x:v>
      </x:c>
      <x:c r="E5" s="45" t="n">
        <x:f>COUNTIFS(Base_48_v1.3!$B$4:$B$51,"S1",Base_48_v1.3!$I$4:$I$51,"ND")</x:f>
        <x:v>0</x:v>
      </x:c>
      <x:c r="F5" s="45" t="n">
        <x:f>COUNTIFS(Base_48_v1.3!$B$4:$B$51,"S1",Base_48_v1.3!$K$4:$K$51,"D")</x:f>
        <x:v>8</x:v>
      </x:c>
      <x:c r="G5" s="45" t="n">
        <x:f>COUNTIFS(Base_48_v1.3!$B$4:$B$51,"S1",Base_48_v1.3!$K$4:$K$51,"P")</x:f>
        <x:v>6</x:v>
      </x:c>
      <x:c r="H5" s="45" t="n">
        <x:f>COUNTIFS(Base_48_v1.3!$B$4:$B$51,"S1",Base_48_v1.3!$K$4:$K$51,"ND")</x:f>
        <x:v>15</x:v>
      </x:c>
      <x:c r="I5" s="45" t="n">
        <x:f>COUNTIFS(Base_48_v1.3!$B$4:$B$51,"S1",Base_48_v1.3!$M$4:$M$51,"D")</x:f>
        <x:v>5</x:v>
      </x:c>
      <x:c r="J5" s="45" t="n">
        <x:f>COUNTIFS(Base_48_v1.3!$B$4:$B$51,"S1",Base_48_v1.3!$M$4:$M$51,"P")</x:f>
        <x:v>24</x:v>
      </x:c>
      <x:c r="K5" s="45" t="n">
        <x:f>COUNTIFS(Base_48_v1.3!$B$4:$B$51,"S1",Base_48_v1.3!$M$4:$M$51,"ND")</x:f>
        <x:v>0</x:v>
      </x:c>
      <x:c r="L5" s="45" t="n">
        <x:f>COUNTIFS(Base_48_v1.3!$B$4:$B$51,"S1",Base_48_v1.3!$O$4:$O$51,"D")</x:f>
        <x:v>0</x:v>
      </x:c>
      <x:c r="M5" s="45" t="n">
        <x:f>COUNTIFS(Base_48_v1.3!$B$4:$B$51,"S1",Base_48_v1.3!$O$4:$O$51,"P")</x:f>
        <x:v>3</x:v>
      </x:c>
      <x:c r="N5" s="45" t="n">
        <x:f>COUNTIFS(Base_48_v1.3!$B$4:$B$51,"S1",Base_48_v1.3!$O$4:$O$51,"ND")</x:f>
        <x:v>26</x:v>
      </x:c>
      <x:c r="O5" s="43"/>
      <x:c r="P5" s="43"/>
      <x:c r="Q5" s="43"/>
      <x:c r="R5" s="43"/>
      <x:c r="S5" s="43"/>
      <x:c r="T5" s="43"/>
      <x:c r="U5" s="43"/>
      <x:c r="V5" s="43"/>
      <x:c r="W5" s="43"/>
      <x:c r="X5" s="43"/>
      <x:c r="Y5" s="43"/>
      <x:c r="Z5" s="43"/>
    </x:row>
    <x:row r="6">
      <x:c r="A6" s="45" t="str">
        <x:v>S2</x:v>
      </x:c>
      <x:c r="B6" s="45" t="n">
        <x:v>19</x:v>
      </x:c>
      <x:c r="C6" s="45" t="n">
        <x:f>COUNTIFS(Base_48_v1.3!$B$4:$B$51,"S2",Base_48_v1.3!$I$4:$I$51,"D")</x:f>
        <x:v>19</x:v>
      </x:c>
      <x:c r="D6" s="45" t="n">
        <x:f>COUNTIFS(Base_48_v1.3!$B$4:$B$51,"S2",Base_48_v1.3!$I$4:$I$51,"P")</x:f>
        <x:v>0</x:v>
      </x:c>
      <x:c r="E6" s="45" t="n">
        <x:f>COUNTIFS(Base_48_v1.3!$B$4:$B$51,"S2",Base_48_v1.3!$I$4:$I$51,"ND")</x:f>
        <x:v>0</x:v>
      </x:c>
      <x:c r="F6" s="45" t="n">
        <x:f>COUNTIFS(Base_48_v1.3!$B$4:$B$51,"S2",Base_48_v1.3!$K$4:$K$51,"D")</x:f>
        <x:v>12</x:v>
      </x:c>
      <x:c r="G6" s="45" t="n">
        <x:f>COUNTIFS(Base_48_v1.3!$B$4:$B$51,"S2",Base_48_v1.3!$K$4:$K$51,"P")</x:f>
        <x:v>3</x:v>
      </x:c>
      <x:c r="H6" s="45" t="n">
        <x:f>COUNTIFS(Base_48_v1.3!$B$4:$B$51,"S2",Base_48_v1.3!$K$4:$K$51,"ND")</x:f>
        <x:v>4</x:v>
      </x:c>
      <x:c r="I6" s="45" t="n">
        <x:f>COUNTIFS(Base_48_v1.3!$B$4:$B$51,"S2",Base_48_v1.3!$M$4:$M$51,"D")</x:f>
        <x:v>6</x:v>
      </x:c>
      <x:c r="J6" s="45" t="n">
        <x:f>COUNTIFS(Base_48_v1.3!$B$4:$B$51,"S2",Base_48_v1.3!$M$4:$M$51,"P")</x:f>
        <x:v>13</x:v>
      </x:c>
      <x:c r="K6" s="45" t="n">
        <x:f>COUNTIFS(Base_48_v1.3!$B$4:$B$51,"S2",Base_48_v1.3!$M$4:$M$51,"ND")</x:f>
        <x:v>0</x:v>
      </x:c>
      <x:c r="L6" s="45" t="n">
        <x:f>COUNTIFS(Base_48_v1.3!$B$4:$B$51,"S2",Base_48_v1.3!$O$4:$O$51,"D")</x:f>
        <x:v>2</x:v>
      </x:c>
      <x:c r="M6" s="45" t="n">
        <x:f>COUNTIFS(Base_48_v1.3!$B$4:$B$51,"S2",Base_48_v1.3!$O$4:$O$51,"P")</x:f>
        <x:v>5</x:v>
      </x:c>
      <x:c r="N6" s="45" t="n">
        <x:f>COUNTIFS(Base_48_v1.3!$B$4:$B$51,"S2",Base_48_v1.3!$O$4:$O$51,"ND")</x:f>
        <x:v>12</x:v>
      </x:c>
      <x:c r="O6" s="43"/>
      <x:c r="P6" s="43"/>
      <x:c r="Q6" s="43"/>
      <x:c r="R6" s="43"/>
      <x:c r="S6" s="43"/>
      <x:c r="T6" s="43"/>
      <x:c r="U6" s="43"/>
      <x:c r="V6" s="43"/>
      <x:c r="W6" s="43"/>
      <x:c r="X6" s="43"/>
      <x:c r="Y6" s="43"/>
      <x:c r="Z6" s="43"/>
    </x:row>
    <x:row r="7">
      <x:c r="A7" s="45" t="str">
        <x:v>Integrated</x:v>
      </x:c>
      <x:c r="B7" s="45" t="n">
        <x:v>48</x:v>
      </x:c>
      <x:c r="C7" s="45" t="n">
        <x:f>COUNTIF(Base_48_v1.3!$I$4:$I$51,"D")</x:f>
        <x:v>45</x:v>
      </x:c>
      <x:c r="D7" s="45" t="n">
        <x:f>COUNTIF(Base_48_v1.3!$I$4:$I$51,"P")</x:f>
        <x:v>3</x:v>
      </x:c>
      <x:c r="E7" s="45" t="n">
        <x:f>COUNTIF(Base_48_v1.3!$I$4:$I$51,"ND")</x:f>
        <x:v>0</x:v>
      </x:c>
      <x:c r="F7" s="45" t="n">
        <x:f>COUNTIF(Base_48_v1.3!$K$4:$K$51,"D")</x:f>
        <x:v>20</x:v>
      </x:c>
      <x:c r="G7" s="45" t="n">
        <x:f>COUNTIF(Base_48_v1.3!$K$4:$K$51,"P")</x:f>
        <x:v>9</x:v>
      </x:c>
      <x:c r="H7" s="45" t="n">
        <x:f>COUNTIF(Base_48_v1.3!$K$4:$K$51,"ND")</x:f>
        <x:v>19</x:v>
      </x:c>
      <x:c r="I7" s="45" t="n">
        <x:f>COUNTIF(Base_48_v1.3!$M$4:$M$51,"D")</x:f>
        <x:v>11</x:v>
      </x:c>
      <x:c r="J7" s="45" t="n">
        <x:f>COUNTIF(Base_48_v1.3!$M$4:$M$51,"P")</x:f>
        <x:v>37</x:v>
      </x:c>
      <x:c r="K7" s="45" t="n">
        <x:f>COUNTIF(Base_48_v1.3!$M$4:$M$51,"ND")</x:f>
        <x:v>0</x:v>
      </x:c>
      <x:c r="L7" s="45" t="n">
        <x:f>COUNTIF(Base_48_v1.3!$O$4:$O$51,"D")</x:f>
        <x:v>2</x:v>
      </x:c>
      <x:c r="M7" s="45" t="n">
        <x:f>COUNTIF(Base_48_v1.3!$O$4:$O$51,"P")</x:f>
        <x:v>8</x:v>
      </x:c>
      <x:c r="N7" s="45" t="n">
        <x:f>COUNTIF(Base_48_v1.3!$O$4:$O$51,"ND")</x:f>
        <x:v>38</x:v>
      </x:c>
      <x:c r="O7" s="43"/>
      <x:c r="P7" s="43"/>
      <x:c r="Q7" s="43"/>
      <x:c r="R7" s="43"/>
      <x:c r="S7" s="43"/>
      <x:c r="T7" s="43"/>
      <x:c r="U7" s="43"/>
      <x:c r="V7" s="43"/>
      <x:c r="W7" s="43"/>
      <x:c r="X7" s="43"/>
      <x:c r="Y7" s="43"/>
      <x:c r="Z7" s="43"/>
    </x:row>
    <x:row r="8">
      <x:c r="A8" s="45"/>
      <x:c r="B8" s="45"/>
      <x:c r="C8" s="45"/>
      <x:c r="D8" s="45"/>
      <x:c r="E8" s="45"/>
      <x:c r="F8" s="45"/>
      <x:c r="G8" s="45"/>
      <x:c r="H8" s="45"/>
      <x:c r="I8" s="45"/>
      <x:c r="J8" s="45"/>
      <x:c r="K8" s="45"/>
      <x:c r="L8" s="45"/>
      <x:c r="M8" s="45"/>
      <x:c r="N8" s="45"/>
      <x:c r="O8" s="43"/>
      <x:c r="P8" s="43"/>
      <x:c r="Q8" s="43"/>
      <x:c r="R8" s="43"/>
      <x:c r="S8" s="43"/>
      <x:c r="T8" s="43"/>
      <x:c r="U8" s="43"/>
      <x:c r="V8" s="43"/>
      <x:c r="W8" s="43"/>
      <x:c r="X8" s="43"/>
      <x:c r="Y8" s="43"/>
      <x:c r="Z8" s="43"/>
    </x:row>
    <x:row r="9">
      <x:c r="A9" s="45"/>
      <x:c r="B9" s="45"/>
      <x:c r="C9" s="45"/>
      <x:c r="D9" s="45"/>
      <x:c r="E9" s="45"/>
      <x:c r="F9" s="45"/>
      <x:c r="G9" s="45"/>
      <x:c r="H9" s="45"/>
      <x:c r="I9" s="45"/>
      <x:c r="J9" s="45"/>
      <x:c r="K9" s="45"/>
      <x:c r="L9" s="45"/>
      <x:c r="M9" s="45"/>
      <x:c r="N9" s="45"/>
      <x:c r="O9" s="43"/>
      <x:c r="P9" s="43"/>
      <x:c r="Q9" s="43"/>
      <x:c r="R9" s="43"/>
      <x:c r="S9" s="43"/>
      <x:c r="T9" s="43"/>
      <x:c r="U9" s="43"/>
      <x:c r="V9" s="43"/>
      <x:c r="W9" s="43"/>
      <x:c r="X9" s="43"/>
      <x:c r="Y9" s="43"/>
      <x:c r="Z9" s="43"/>
    </x:row>
    <x:row r="10">
      <x:c r="A10" s="46" t="str">
        <x:v>Corpus</x:v>
      </x:c>
      <x:c r="B10" s="46" t="str">
        <x:v>N</x:v>
      </x:c>
      <x:c r="C10" s="46" t="str">
        <x:v>I12 D</x:v>
      </x:c>
      <x:c r="D10" s="46" t="str">
        <x:v>I12 P</x:v>
      </x:c>
      <x:c r="E10" s="46" t="str">
        <x:v>I12 ND</x:v>
      </x:c>
      <x:c r="F10" s="46" t="str">
        <x:v>I23 D</x:v>
      </x:c>
      <x:c r="G10" s="46" t="str">
        <x:v>I23 P</x:v>
      </x:c>
      <x:c r="H10" s="46" t="str">
        <x:v>I23 ND</x:v>
      </x:c>
      <x:c r="I10" s="46" t="str">
        <x:v>I3M D</x:v>
      </x:c>
      <x:c r="J10" s="46" t="str">
        <x:v>I3M P</x:v>
      </x:c>
      <x:c r="K10" s="46" t="str">
        <x:v>I3M ND</x:v>
      </x:c>
      <x:c r="L10" s="46" t="str">
        <x:v>IM1 D</x:v>
      </x:c>
      <x:c r="M10" s="46" t="str">
        <x:v>IM1 P</x:v>
      </x:c>
      <x:c r="N10" s="46" t="str">
        <x:v>IM1 ND</x:v>
      </x:c>
      <x:c r="O10" s="43"/>
      <x:c r="P10" s="43"/>
      <x:c r="Q10" s="43"/>
      <x:c r="R10" s="43"/>
      <x:c r="S10" s="43"/>
      <x:c r="T10" s="43"/>
      <x:c r="U10" s="43"/>
      <x:c r="V10" s="43"/>
      <x:c r="W10" s="43"/>
      <x:c r="X10" s="43"/>
      <x:c r="Y10" s="43"/>
      <x:c r="Z10" s="43"/>
    </x:row>
    <x:row r="11">
      <x:c r="A11" s="45" t="str">
        <x:v>S1</x:v>
      </x:c>
      <x:c r="B11" s="45" t="n">
        <x:v>29</x:v>
      </x:c>
      <x:c r="C11" s="47" t="n">
        <x:f>C5/$B$5</x:f>
        <x:v>0.896551724137931</x:v>
      </x:c>
      <x:c r="D11" s="47" t="n">
        <x:f>D5/$B$5</x:f>
        <x:v>0.10344827586206896</x:v>
      </x:c>
      <x:c r="E11" s="47" t="n">
        <x:f>E5/$B$5</x:f>
        <x:v>0</x:v>
      </x:c>
      <x:c r="F11" s="47" t="n">
        <x:f>F5/$B$5</x:f>
        <x:v>0.27586206896551724</x:v>
      </x:c>
      <x:c r="G11" s="47" t="n">
        <x:f>G5/$B$5</x:f>
        <x:v>0.20689655172413793</x:v>
      </x:c>
      <x:c r="H11" s="47" t="n">
        <x:f>H5/$B$5</x:f>
        <x:v>0.5172413793103449</x:v>
      </x:c>
      <x:c r="I11" s="47" t="n">
        <x:f>I5/$B$5</x:f>
        <x:v>0.1724137931034483</x:v>
      </x:c>
      <x:c r="J11" s="47" t="n">
        <x:f>J5/$B$5</x:f>
        <x:v>0.8275862068965517</x:v>
      </x:c>
      <x:c r="K11" s="47" t="n">
        <x:f>K5/$B$5</x:f>
        <x:v>0</x:v>
      </x:c>
      <x:c r="L11" s="47" t="n">
        <x:f>L5/$B$5</x:f>
        <x:v>0</x:v>
      </x:c>
      <x:c r="M11" s="47" t="n">
        <x:f>M5/$B$5</x:f>
        <x:v>0.10344827586206896</x:v>
      </x:c>
      <x:c r="N11" s="47" t="n">
        <x:f>N5/$B$5</x:f>
        <x:v>0.896551724137931</x:v>
      </x:c>
      <x:c r="O11" s="43"/>
      <x:c r="P11" s="43"/>
      <x:c r="Q11" s="43"/>
      <x:c r="R11" s="43"/>
      <x:c r="S11" s="43"/>
      <x:c r="T11" s="43"/>
      <x:c r="U11" s="43"/>
      <x:c r="V11" s="43"/>
      <x:c r="W11" s="43"/>
      <x:c r="X11" s="43"/>
      <x:c r="Y11" s="43"/>
      <x:c r="Z11" s="43"/>
    </x:row>
    <x:row r="12">
      <x:c r="A12" s="45" t="str">
        <x:v>S2</x:v>
      </x:c>
      <x:c r="B12" s="45" t="n">
        <x:v>19</x:v>
      </x:c>
      <x:c r="C12" s="47" t="n">
        <x:f>C6/$B$6</x:f>
        <x:v>1</x:v>
      </x:c>
      <x:c r="D12" s="47" t="n">
        <x:f>D6/$B$6</x:f>
        <x:v>0</x:v>
      </x:c>
      <x:c r="E12" s="47" t="n">
        <x:f>E6/$B$6</x:f>
        <x:v>0</x:v>
      </x:c>
      <x:c r="F12" s="47" t="n">
        <x:f>F6/$B$6</x:f>
        <x:v>0.631578947368421</x:v>
      </x:c>
      <x:c r="G12" s="47" t="n">
        <x:f>G6/$B$6</x:f>
        <x:v>0.15789473684210525</x:v>
      </x:c>
      <x:c r="H12" s="47" t="n">
        <x:f>H6/$B$6</x:f>
        <x:v>0.21052631578947367</x:v>
      </x:c>
      <x:c r="I12" s="47" t="n">
        <x:f>I6/$B$6</x:f>
        <x:v>0.3157894736842105</x:v>
      </x:c>
      <x:c r="J12" s="47" t="n">
        <x:f>J6/$B$6</x:f>
        <x:v>0.6842105263157895</x:v>
      </x:c>
      <x:c r="K12" s="47" t="n">
        <x:f>K6/$B$6</x:f>
        <x:v>0</x:v>
      </x:c>
      <x:c r="L12" s="47" t="n">
        <x:f>L6/$B$6</x:f>
        <x:v>0.10526315789473684</x:v>
      </x:c>
      <x:c r="M12" s="47" t="n">
        <x:f>M6/$B$6</x:f>
        <x:v>0.2631578947368421</x:v>
      </x:c>
      <x:c r="N12" s="47" t="n">
        <x:f>N6/$B$6</x:f>
        <x:v>0.631578947368421</x:v>
      </x:c>
      <x:c r="O12" s="43"/>
      <x:c r="P12" s="43"/>
      <x:c r="Q12" s="43"/>
      <x:c r="R12" s="43"/>
      <x:c r="S12" s="43"/>
      <x:c r="T12" s="43"/>
      <x:c r="U12" s="43"/>
      <x:c r="V12" s="43"/>
      <x:c r="W12" s="43"/>
      <x:c r="X12" s="43"/>
      <x:c r="Y12" s="43"/>
      <x:c r="Z12" s="43"/>
    </x:row>
    <x:row r="13">
      <x:c r="A13" s="45" t="str">
        <x:v>Integrated</x:v>
      </x:c>
      <x:c r="B13" s="45" t="n">
        <x:v>48</x:v>
      </x:c>
      <x:c r="C13" s="47" t="n">
        <x:f>C7/$B$7</x:f>
        <x:v>0.9375</x:v>
      </x:c>
      <x:c r="D13" s="47" t="n">
        <x:f>D7/$B$7</x:f>
        <x:v>0.0625</x:v>
      </x:c>
      <x:c r="E13" s="47" t="n">
        <x:f>E7/$B$7</x:f>
        <x:v>0</x:v>
      </x:c>
      <x:c r="F13" s="47" t="n">
        <x:f>F7/$B$7</x:f>
        <x:v>0.4166666666666667</x:v>
      </x:c>
      <x:c r="G13" s="47" t="n">
        <x:f>G7/$B$7</x:f>
        <x:v>0.1875</x:v>
      </x:c>
      <x:c r="H13" s="47" t="n">
        <x:f>H7/$B$7</x:f>
        <x:v>0.3958333333333333</x:v>
      </x:c>
      <x:c r="I13" s="47" t="n">
        <x:f>I7/$B$7</x:f>
        <x:v>0.22916666666666666</x:v>
      </x:c>
      <x:c r="J13" s="47" t="n">
        <x:f>J7/$B$7</x:f>
        <x:v>0.7708333333333334</x:v>
      </x:c>
      <x:c r="K13" s="47" t="n">
        <x:f>K7/$B$7</x:f>
        <x:v>0</x:v>
      </x:c>
      <x:c r="L13" s="47" t="n">
        <x:f>L7/$B$7</x:f>
        <x:v>0.041666666666666664</x:v>
      </x:c>
      <x:c r="M13" s="47" t="n">
        <x:f>M7/$B$7</x:f>
        <x:v>0.16666666666666666</x:v>
      </x:c>
      <x:c r="N13" s="47" t="n">
        <x:f>N7/$B$7</x:f>
        <x:v>0.7916666666666666</x:v>
      </x:c>
      <x:c r="O13" s="43"/>
      <x:c r="P13" s="43"/>
      <x:c r="Q13" s="43"/>
      <x:c r="R13" s="43"/>
      <x:c r="S13" s="43"/>
      <x:c r="T13" s="43"/>
      <x:c r="U13" s="43"/>
      <x:c r="V13" s="43"/>
      <x:c r="W13" s="43"/>
      <x:c r="X13" s="43"/>
      <x:c r="Y13" s="43"/>
      <x:c r="Z13" s="43"/>
    </x:row>
    <x:row r="14">
      <x:c r="A14" s="45"/>
      <x:c r="B14" s="45"/>
      <x:c r="C14" s="45"/>
      <x:c r="D14" s="45"/>
      <x:c r="E14" s="45"/>
      <x:c r="F14" s="45"/>
      <x:c r="G14" s="45"/>
      <x:c r="H14" s="45"/>
      <x:c r="I14" s="45"/>
      <x:c r="J14" s="45"/>
      <x:c r="K14" s="45"/>
      <x:c r="L14" s="45"/>
      <x:c r="M14" s="45"/>
      <x:c r="N14" s="45"/>
      <x:c r="O14" s="43"/>
      <x:c r="P14" s="43"/>
      <x:c r="Q14" s="43"/>
      <x:c r="R14" s="43"/>
      <x:c r="S14" s="43"/>
      <x:c r="T14" s="43"/>
      <x:c r="U14" s="43"/>
      <x:c r="V14" s="43"/>
      <x:c r="W14" s="43"/>
      <x:c r="X14" s="43"/>
      <x:c r="Y14" s="43"/>
      <x:c r="Z14" s="43"/>
    </x:row>
    <x:row r="15">
      <x:c r="A15" s="45"/>
      <x:c r="B15" s="45"/>
      <x:c r="C15" s="45"/>
      <x:c r="D15" s="45"/>
      <x:c r="E15" s="45"/>
      <x:c r="F15" s="45"/>
      <x:c r="G15" s="45"/>
      <x:c r="H15" s="45"/>
      <x:c r="I15" s="45"/>
      <x:c r="J15" s="45"/>
      <x:c r="K15" s="45"/>
      <x:c r="L15" s="45"/>
      <x:c r="M15" s="45"/>
      <x:c r="N15" s="45"/>
      <x:c r="O15" s="43"/>
      <x:c r="P15" s="43"/>
      <x:c r="Q15" s="43"/>
      <x:c r="R15" s="43"/>
      <x:c r="S15" s="43"/>
      <x:c r="T15" s="43"/>
      <x:c r="U15" s="43"/>
      <x:c r="V15" s="43"/>
      <x:c r="W15" s="43"/>
      <x:c r="X15" s="43"/>
      <x:c r="Y15" s="43"/>
      <x:c r="Z15" s="43"/>
    </x:row>
    <x:row r="16">
      <x:c r="A16" s="46" t="str">
        <x:v>Interface</x:v>
      </x:c>
      <x:c r="B16" s="46" t="str">
        <x:v>v1.1 D</x:v>
      </x:c>
      <x:c r="C16" s="46" t="str">
        <x:v>v1.1 P</x:v>
      </x:c>
      <x:c r="D16" s="46" t="str">
        <x:v>v1.1 ND</x:v>
      </x:c>
      <x:c r="E16" s="46" t="str">
        <x:v>v1.3 D</x:v>
      </x:c>
      <x:c r="F16" s="46" t="str">
        <x:v>v1.3 P</x:v>
      </x:c>
      <x:c r="G16" s="46" t="str">
        <x:v>v1.3 ND</x:v>
      </x:c>
      <x:c r="H16" s="46" t="str">
        <x:v>Changed decisions</x:v>
      </x:c>
      <x:c r="I16" s="46" t="str">
        <x:v>Net D change</x:v>
      </x:c>
      <x:c r="J16" s="46" t="str">
        <x:v>Interpretive note</x:v>
      </x:c>
      <x:c r="K16" s="45"/>
      <x:c r="L16" s="45"/>
      <x:c r="M16" s="45"/>
      <x:c r="N16" s="45"/>
      <x:c r="O16" s="43"/>
      <x:c r="P16" s="43"/>
      <x:c r="Q16" s="43"/>
      <x:c r="R16" s="43"/>
      <x:c r="S16" s="43"/>
      <x:c r="T16" s="43"/>
      <x:c r="U16" s="43"/>
      <x:c r="V16" s="43"/>
      <x:c r="W16" s="43"/>
      <x:c r="X16" s="43"/>
      <x:c r="Y16" s="43"/>
      <x:c r="Z16" s="43"/>
    </x:row>
    <x:row r="17">
      <x:c r="A17" s="45" t="str">
        <x:v>I12</x:v>
      </x:c>
      <x:c r="B17" s="45" t="n">
        <x:f>COUNTIF(Base_48_v1.3!$H$4:$H$51,"D")</x:f>
        <x:v>45</x:v>
      </x:c>
      <x:c r="C17" s="45" t="n">
        <x:f>COUNTIF(Base_48_v1.3!$H$4:$H$51,"P")</x:f>
        <x:v>3</x:v>
      </x:c>
      <x:c r="D17" s="45" t="n">
        <x:f>COUNTIF(Base_48_v1.3!$H$4:$H$51,"ND")</x:f>
        <x:v>0</x:v>
      </x:c>
      <x:c r="E17" s="45" t="n">
        <x:f>COUNTIF(Base_48_v1.3!$I$4:$I$51,"D")</x:f>
        <x:v>45</x:v>
      </x:c>
      <x:c r="F17" s="45" t="n">
        <x:f>COUNTIF(Base_48_v1.3!$I$4:$I$51,"P")</x:f>
        <x:v>3</x:v>
      </x:c>
      <x:c r="G17" s="45" t="n">
        <x:f>COUNTIF(Base_48_v1.3!$I$4:$I$51,"ND")</x:f>
        <x:v>0</x:v>
      </x:c>
      <x:c r="H17" s="45" t="n">
        <x:v>0</x:v>
      </x:c>
      <x:c r="I17" s="45" t="n">
        <x:f>E17-B17</x:f>
        <x:v>0</x:v>
      </x:c>
      <x:c r="J17" s="45" t="str">
        <x:v>Unchanged by v1.3; final boundary remained stable.</x:v>
      </x:c>
      <x:c r="K17" s="45"/>
      <x:c r="L17" s="45"/>
      <x:c r="M17" s="45"/>
      <x:c r="N17" s="45"/>
      <x:c r="O17" s="43"/>
      <x:c r="P17" s="43"/>
      <x:c r="Q17" s="43"/>
      <x:c r="R17" s="43"/>
      <x:c r="S17" s="43"/>
      <x:c r="T17" s="43"/>
      <x:c r="U17" s="43"/>
      <x:c r="V17" s="43"/>
      <x:c r="W17" s="43"/>
      <x:c r="X17" s="43"/>
      <x:c r="Y17" s="43"/>
      <x:c r="Z17" s="43"/>
    </x:row>
    <x:row r="18">
      <x:c r="A18" s="45" t="str">
        <x:v>I23</x:v>
      </x:c>
      <x:c r="B18" s="45" t="n">
        <x:f>COUNTIF(Base_48_v1.3!$J$4:$J$51,"D")</x:f>
        <x:v>16</x:v>
      </x:c>
      <x:c r="C18" s="45" t="n">
        <x:f>COUNTIF(Base_48_v1.3!$J$4:$J$51,"P")</x:f>
        <x:v>32</x:v>
      </x:c>
      <x:c r="D18" s="45" t="n">
        <x:f>COUNTIF(Base_48_v1.3!$J$4:$J$51,"ND")</x:f>
        <x:v>0</x:v>
      </x:c>
      <x:c r="E18" s="45" t="n">
        <x:f>COUNTIF(Base_48_v1.3!$K$4:$K$51,"D")</x:f>
        <x:v>20</x:v>
      </x:c>
      <x:c r="F18" s="45" t="n">
        <x:f>COUNTIF(Base_48_v1.3!$K$4:$K$51,"P")</x:f>
        <x:v>9</x:v>
      </x:c>
      <x:c r="G18" s="45" t="n">
        <x:f>COUNTIF(Base_48_v1.3!$K$4:$K$51,"ND")</x:f>
        <x:v>19</x:v>
      </x:c>
      <x:c r="H18" s="45" t="n">
        <x:v>25</x:v>
      </x:c>
      <x:c r="I18" s="45" t="n">
        <x:f>E18-B18</x:f>
        <x:v>4</x:v>
      </x:c>
      <x:c r="J18" s="45" t="str">
        <x:v>v1.3 made the bounded requirement→specific capability anchor discriminative: 19 P→ND, 5 P→D, 1 D→P.</x:v>
      </x:c>
      <x:c r="K18" s="45"/>
      <x:c r="L18" s="45"/>
      <x:c r="M18" s="45"/>
      <x:c r="N18" s="45"/>
      <x:c r="O18" s="43"/>
      <x:c r="P18" s="43"/>
      <x:c r="Q18" s="43"/>
      <x:c r="R18" s="43"/>
      <x:c r="S18" s="43"/>
      <x:c r="T18" s="43"/>
      <x:c r="U18" s="43"/>
      <x:c r="V18" s="43"/>
      <x:c r="W18" s="43"/>
      <x:c r="X18" s="43"/>
      <x:c r="Y18" s="43"/>
      <x:c r="Z18" s="43"/>
    </x:row>
    <x:row r="19">
      <x:c r="A19" s="45" t="str">
        <x:v>I3M</x:v>
      </x:c>
      <x:c r="B19" s="45" t="n">
        <x:f>COUNTIF(Base_48_v1.3!$L$4:$L$51,"D")</x:f>
        <x:v>11</x:v>
      </x:c>
      <x:c r="C19" s="45" t="n">
        <x:f>COUNTIF(Base_48_v1.3!$L$4:$L$51,"P")</x:f>
        <x:v>37</x:v>
      </x:c>
      <x:c r="D19" s="45" t="n">
        <x:f>COUNTIF(Base_48_v1.3!$L$4:$L$51,"ND")</x:f>
        <x:v>0</x:v>
      </x:c>
      <x:c r="E19" s="45" t="n">
        <x:f>COUNTIF(Base_48_v1.3!$M$4:$M$51,"D")</x:f>
        <x:v>11</x:v>
      </x:c>
      <x:c r="F19" s="45" t="n">
        <x:f>COUNTIF(Base_48_v1.3!$M$4:$M$51,"P")</x:f>
        <x:v>37</x:v>
      </x:c>
      <x:c r="G19" s="45" t="n">
        <x:f>COUNTIF(Base_48_v1.3!$M$4:$M$51,"ND")</x:f>
        <x:v>0</x:v>
      </x:c>
      <x:c r="H19" s="45" t="n">
        <x:v>0</x:v>
      </x:c>
      <x:c r="I19" s="45" t="n">
        <x:f>E19-B19</x:f>
        <x:v>0</x:v>
      </x:c>
      <x:c r="J19" s="45" t="str">
        <x:v>Unchanged by v1.3; support-chain rule remained stable.</x:v>
      </x:c>
      <x:c r="K19" s="45"/>
      <x:c r="L19" s="45"/>
      <x:c r="M19" s="45"/>
      <x:c r="N19" s="45"/>
      <x:c r="O19" s="43"/>
      <x:c r="P19" s="43"/>
      <x:c r="Q19" s="43"/>
      <x:c r="R19" s="43"/>
      <x:c r="S19" s="43"/>
      <x:c r="T19" s="43"/>
      <x:c r="U19" s="43"/>
      <x:c r="V19" s="43"/>
      <x:c r="W19" s="43"/>
      <x:c r="X19" s="43"/>
      <x:c r="Y19" s="43"/>
      <x:c r="Z19" s="43"/>
    </x:row>
    <x:row r="20">
      <x:c r="A20" s="45" t="str">
        <x:v>IM1</x:v>
      </x:c>
      <x:c r="B20" s="45" t="n">
        <x:f>COUNTIF(Base_48_v1.3!$N$4:$N$51,"D")</x:f>
        <x:v>2</x:v>
      </x:c>
      <x:c r="C20" s="45" t="n">
        <x:f>COUNTIF(Base_48_v1.3!$N$4:$N$51,"P")</x:f>
        <x:v>8</x:v>
      </x:c>
      <x:c r="D20" s="45" t="n">
        <x:f>COUNTIF(Base_48_v1.3!$N$4:$N$51,"ND")</x:f>
        <x:v>38</x:v>
      </x:c>
      <x:c r="E20" s="45" t="n">
        <x:f>COUNTIF(Base_48_v1.3!$O$4:$O$51,"D")</x:f>
        <x:v>2</x:v>
      </x:c>
      <x:c r="F20" s="45" t="n">
        <x:f>COUNTIF(Base_48_v1.3!$O$4:$O$51,"P")</x:f>
        <x:v>8</x:v>
      </x:c>
      <x:c r="G20" s="45" t="n">
        <x:f>COUNTIF(Base_48_v1.3!$O$4:$O$51,"ND")</x:f>
        <x:v>38</x:v>
      </x:c>
      <x:c r="H20" s="45" t="n">
        <x:v>10</x:v>
      </x:c>
      <x:c r="I20" s="45" t="n">
        <x:f>E20-B20</x:f>
        <x:v>0</x:v>
      </x:c>
      <x:c r="J20" s="45" t="str">
        <x:v>Aggregate counts unchanged, but 10 cases moved internally: 5 P→ND and 5 ND→P under the stricter event→diagnosis anchor.</x:v>
      </x:c>
      <x:c r="K20" s="45"/>
      <x:c r="L20" s="45"/>
      <x:c r="M20" s="45"/>
      <x:c r="N20" s="45"/>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N1"/>
    <x:mergeCell ref="A2:N2"/>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10" hidden="0" customWidth="1"/>
    <x:col min="3" max="3" width="12" hidden="0" customWidth="1"/>
    <x:col min="4" max="4" width="78" hidden="0" customWidth="1"/>
    <x:col min="5" max="5" width="10" hidden="0" customWidth="1"/>
    <x:col min="6" max="6" width="12"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s>
  <x:sheetData>
    <x:row r="1">
      <x:c r="A1" s="42" t="str">
        <x:v>Evidence-basis composition and interface documentation by basis</x:v>
      </x:c>
      <x:c r="B1" s="42"/>
      <x:c r="C1" s="42"/>
      <x:c r="D1" s="42"/>
      <x:c r="E1" s="42"/>
      <x:c r="F1" s="42"/>
      <x:c r="G1" s="42"/>
      <x:c r="H1" s="42"/>
      <x:c r="I1" s="42"/>
      <x:c r="J1" s="42"/>
      <x:c r="K1" s="42"/>
      <x:c r="L1" s="42"/>
      <x:c r="M1" s="42"/>
      <x:c r="N1" s="45"/>
      <x:c r="O1" s="45"/>
      <x:c r="P1" s="45"/>
      <x:c r="Q1" s="45"/>
      <x:c r="R1" s="45"/>
      <x:c r="S1" s="45"/>
      <x:c r="T1" s="43"/>
      <x:c r="U1" s="43"/>
      <x:c r="V1" s="43"/>
      <x:c r="W1" s="43"/>
      <x:c r="X1" s="43"/>
      <x:c r="Y1" s="43"/>
      <x:c r="Z1" s="43"/>
    </x:row>
    <x:row r="2">
      <x:c r="A2" s="45"/>
      <x:c r="B2" s="45"/>
      <x:c r="C2" s="45"/>
      <x:c r="D2" s="45"/>
      <x:c r="E2" s="45"/>
      <x:c r="F2" s="45"/>
      <x:c r="G2" s="45"/>
      <x:c r="H2" s="45"/>
      <x:c r="I2" s="45"/>
      <x:c r="J2" s="45"/>
      <x:c r="K2" s="45"/>
      <x:c r="L2" s="45"/>
      <x:c r="M2" s="45"/>
      <x:c r="N2" s="45"/>
      <x:c r="O2" s="45"/>
      <x:c r="P2" s="45"/>
      <x:c r="Q2" s="45"/>
      <x:c r="R2" s="45"/>
      <x:c r="S2" s="45"/>
      <x:c r="T2" s="43"/>
      <x:c r="U2" s="43"/>
      <x:c r="V2" s="43"/>
      <x:c r="W2" s="43"/>
      <x:c r="X2" s="43"/>
      <x:c r="Y2" s="43"/>
      <x:c r="Z2" s="43"/>
    </x:row>
    <x:row r="3">
      <x:c r="A3" s="46" t="str">
        <x:v>Evidence basis</x:v>
      </x:c>
      <x:c r="B3" s="46" t="str">
        <x:v>Studies</x:v>
      </x:c>
      <x:c r="C3" s="46" t="str">
        <x:v>Share</x:v>
      </x:c>
      <x:c r="D3" s="46" t="str">
        <x:v>Interpretation</x:v>
      </x:c>
      <x:c r="E3" s="45"/>
      <x:c r="F3" s="22" t="str">
        <x:v>Basis</x:v>
      </x:c>
      <x:c r="G3" s="22" t="str">
        <x:v>N</x:v>
      </x:c>
      <x:c r="H3" s="22" t="str">
        <x:v>I12 D</x:v>
      </x:c>
      <x:c r="I3" s="22" t="str">
        <x:v>I12 P</x:v>
      </x:c>
      <x:c r="J3" s="22" t="str">
        <x:v>I12 ND</x:v>
      </x:c>
      <x:c r="K3" s="22" t="str">
        <x:v>I23 D</x:v>
      </x:c>
      <x:c r="L3" s="22" t="str">
        <x:v>I23 P</x:v>
      </x:c>
      <x:c r="M3" s="22" t="str">
        <x:v>I23 ND</x:v>
      </x:c>
      <x:c r="N3" s="22" t="str">
        <x:v>I3M D</x:v>
      </x:c>
      <x:c r="O3" s="22" t="str">
        <x:v>I3M P</x:v>
      </x:c>
      <x:c r="P3" s="22" t="str">
        <x:v>I3M ND</x:v>
      </x:c>
      <x:c r="Q3" s="22" t="str">
        <x:v>IM1 D</x:v>
      </x:c>
      <x:c r="R3" s="22" t="str">
        <x:v>IM1 P</x:v>
      </x:c>
      <x:c r="S3" s="22" t="str">
        <x:v>IM1 ND</x:v>
      </x:c>
      <x:c r="T3" s="43"/>
      <x:c r="U3" s="43"/>
      <x:c r="V3" s="43"/>
      <x:c r="W3" s="43"/>
      <x:c r="X3" s="43"/>
      <x:c r="Y3" s="43"/>
      <x:c r="Z3" s="43"/>
    </x:row>
    <x:row r="4">
      <x:c r="A4" s="45" t="str">
        <x:v>Conceptual / normative</x:v>
      </x:c>
      <x:c r="B4" s="45" t="n">
        <x:v>24</x:v>
      </x:c>
      <x:c r="C4" s="47" t="n">
        <x:f>B4/48</x:f>
        <x:v>0.5</x:v>
      </x:c>
      <x:c r="D4" s="45" t="str">
        <x:v>Conceptual/normative sources can reach D when the publication itself reconstructs a complete bounded chain.</x:v>
      </x:c>
      <x:c r="E4" s="45"/>
      <x:c r="F4" s="45" t="str">
        <x:v>C</x:v>
      </x:c>
      <x:c r="G4" s="45" t="n">
        <x:v>24</x:v>
      </x:c>
      <x:c r="H4" s="45" t="n">
        <x:v>23</x:v>
      </x:c>
      <x:c r="I4" s="45" t="n">
        <x:v>1</x:v>
      </x:c>
      <x:c r="J4" s="45" t="n">
        <x:v>0</x:v>
      </x:c>
      <x:c r="K4" s="45" t="n">
        <x:v>9</x:v>
      </x:c>
      <x:c r="L4" s="45" t="n">
        <x:v>5</x:v>
      </x:c>
      <x:c r="M4" s="45" t="n">
        <x:v>10</x:v>
      </x:c>
      <x:c r="N4" s="45" t="n">
        <x:v>5</x:v>
      </x:c>
      <x:c r="O4" s="45" t="n">
        <x:v>19</x:v>
      </x:c>
      <x:c r="P4" s="45" t="n">
        <x:v>0</x:v>
      </x:c>
      <x:c r="Q4" s="45" t="n">
        <x:v>0</x:v>
      </x:c>
      <x:c r="R4" s="45" t="n">
        <x:v>4</x:v>
      </x:c>
      <x:c r="S4" s="45" t="n">
        <x:v>20</x:v>
      </x:c>
      <x:c r="T4" s="43"/>
      <x:c r="U4" s="43"/>
      <x:c r="V4" s="43"/>
      <x:c r="W4" s="43"/>
      <x:c r="X4" s="43"/>
      <x:c r="Y4" s="43"/>
      <x:c r="Z4" s="43"/>
    </x:row>
    <x:row r="5">
      <x:c r="A5" s="45" t="str">
        <x:v>Mixed</x:v>
      </x:c>
      <x:c r="B5" s="45" t="n">
        <x:v>14</x:v>
      </x:c>
      <x:c r="C5" s="47" t="n">
        <x:f>B5/48</x:f>
        <x:v>0.2916666666666667</x:v>
      </x:c>
      <x:c r="D5" s="45" t="str">
        <x:v>Mixed studies combine conceptual/design framing with empirical or case evidence.</x:v>
      </x:c>
      <x:c r="E5" s="45"/>
      <x:c r="F5" s="45" t="str">
        <x:v>M</x:v>
      </x:c>
      <x:c r="G5" s="45" t="n">
        <x:v>14</x:v>
      </x:c>
      <x:c r="H5" s="45" t="n">
        <x:v>13</x:v>
      </x:c>
      <x:c r="I5" s="45" t="n">
        <x:v>1</x:v>
      </x:c>
      <x:c r="J5" s="45" t="n">
        <x:v>0</x:v>
      </x:c>
      <x:c r="K5" s="45" t="n">
        <x:v>5</x:v>
      </x:c>
      <x:c r="L5" s="45" t="n">
        <x:v>2</x:v>
      </x:c>
      <x:c r="M5" s="45" t="n">
        <x:v>7</x:v>
      </x:c>
      <x:c r="N5" s="45" t="n">
        <x:v>2</x:v>
      </x:c>
      <x:c r="O5" s="45" t="n">
        <x:v>12</x:v>
      </x:c>
      <x:c r="P5" s="45" t="n">
        <x:v>0</x:v>
      </x:c>
      <x:c r="Q5" s="45" t="n">
        <x:v>1</x:v>
      </x:c>
      <x:c r="R5" s="45" t="n">
        <x:v>2</x:v>
      </x:c>
      <x:c r="S5" s="45" t="n">
        <x:v>11</x:v>
      </x:c>
      <x:c r="T5" s="43"/>
      <x:c r="U5" s="43"/>
      <x:c r="V5" s="43"/>
      <x:c r="W5" s="43"/>
      <x:c r="X5" s="43"/>
      <x:c r="Y5" s="43"/>
      <x:c r="Z5" s="43"/>
    </x:row>
    <x:row r="6">
      <x:c r="A6" s="45" t="str">
        <x:v>Empirical / deployment</x:v>
      </x:c>
      <x:c r="B6" s="45" t="n">
        <x:v>10</x:v>
      </x:c>
      <x:c r="C6" s="47" t="n">
        <x:f>B6/48</x:f>
        <x:v>0.20833333333333334</x:v>
      </x:c>
      <x:c r="D6" s="45" t="str">
        <x:v>Empirical/deployment evidence does not automatically imply D; completeness still depends on the interface-specific chain.</x:v>
      </x:c>
      <x:c r="E6" s="45"/>
      <x:c r="F6" s="45" t="str">
        <x:v>E</x:v>
      </x:c>
      <x:c r="G6" s="45" t="n">
        <x:v>10</x:v>
      </x:c>
      <x:c r="H6" s="45" t="n">
        <x:v>9</x:v>
      </x:c>
      <x:c r="I6" s="45" t="n">
        <x:v>1</x:v>
      </x:c>
      <x:c r="J6" s="45" t="n">
        <x:v>0</x:v>
      </x:c>
      <x:c r="K6" s="45" t="n">
        <x:v>6</x:v>
      </x:c>
      <x:c r="L6" s="45" t="n">
        <x:v>2</x:v>
      </x:c>
      <x:c r="M6" s="45" t="n">
        <x:v>2</x:v>
      </x:c>
      <x:c r="N6" s="45" t="n">
        <x:v>4</x:v>
      </x:c>
      <x:c r="O6" s="45" t="n">
        <x:v>6</x:v>
      </x:c>
      <x:c r="P6" s="45" t="n">
        <x:v>0</x:v>
      </x:c>
      <x:c r="Q6" s="45" t="n">
        <x:v>1</x:v>
      </x:c>
      <x:c r="R6" s="45" t="n">
        <x:v>2</x:v>
      </x:c>
      <x:c r="S6" s="45" t="n">
        <x:v>7</x:v>
      </x:c>
      <x:c r="T6" s="43"/>
      <x:c r="U6" s="43"/>
      <x:c r="V6" s="43"/>
      <x:c r="W6" s="43"/>
      <x:c r="X6" s="43"/>
      <x:c r="Y6" s="43"/>
      <x:c r="Z6" s="43"/>
    </x:row>
    <x:row r="7">
      <x:c r="A7" s="45"/>
      <x:c r="B7" s="45"/>
      <x:c r="C7" s="45"/>
      <x:c r="D7" s="45"/>
      <x:c r="E7" s="45"/>
      <x:c r="F7" s="45"/>
      <x:c r="G7" s="45"/>
      <x:c r="H7" s="45"/>
      <x:c r="I7" s="45"/>
      <x:c r="J7" s="45"/>
      <x:c r="K7" s="45"/>
      <x:c r="L7" s="45"/>
      <x:c r="M7" s="45"/>
      <x:c r="N7" s="45"/>
      <x:c r="O7" s="45"/>
      <x:c r="P7" s="45"/>
      <x:c r="Q7" s="45"/>
      <x:c r="R7" s="45"/>
      <x:c r="S7" s="45"/>
      <x:c r="T7" s="43"/>
      <x:c r="U7" s="43"/>
      <x:c r="V7" s="43"/>
      <x:c r="W7" s="43"/>
      <x:c r="X7" s="43"/>
      <x:c r="Y7" s="43"/>
      <x:c r="Z7" s="43"/>
    </x:row>
    <x:row r="8">
      <x:c r="A8" s="45"/>
      <x:c r="B8" s="45"/>
      <x:c r="C8" s="45"/>
      <x:c r="D8" s="45"/>
      <x:c r="E8" s="45"/>
      <x:c r="F8" s="45"/>
      <x:c r="G8" s="45"/>
      <x:c r="H8" s="45"/>
      <x:c r="I8" s="45"/>
      <x:c r="J8" s="45"/>
      <x:c r="K8" s="45"/>
      <x:c r="L8" s="45"/>
      <x:c r="M8" s="45"/>
      <x:c r="N8" s="45"/>
      <x:c r="O8" s="45"/>
      <x:c r="P8" s="45"/>
      <x:c r="Q8" s="45"/>
      <x:c r="R8" s="45"/>
      <x:c r="S8" s="45"/>
      <x:c r="T8" s="43"/>
      <x:c r="U8" s="43"/>
      <x:c r="V8" s="43"/>
      <x:c r="W8" s="43"/>
      <x:c r="X8" s="43"/>
      <x:c r="Y8" s="43"/>
      <x:c r="Z8" s="43"/>
    </x:row>
    <x:row r="9">
      <x:c r="A9" s="46"/>
      <x:c r="B9" s="46"/>
      <x:c r="C9" s="46"/>
      <x:c r="D9" s="46"/>
      <x:c r="E9" s="46"/>
      <x:c r="F9" s="46"/>
      <x:c r="G9" s="46"/>
      <x:c r="H9" s="46"/>
      <x:c r="I9" s="46"/>
      <x:c r="J9" s="46"/>
      <x:c r="K9" s="46"/>
      <x:c r="L9" s="46"/>
      <x:c r="M9" s="46"/>
      <x:c r="N9" s="46"/>
      <x:c r="O9" s="43"/>
      <x:c r="P9" s="43"/>
      <x:c r="Q9" s="43"/>
      <x:c r="R9" s="43"/>
      <x:c r="S9" s="43"/>
      <x:c r="T9" s="43"/>
      <x:c r="U9" s="43"/>
      <x:c r="V9" s="43"/>
      <x:c r="W9" s="43"/>
      <x:c r="X9" s="43"/>
      <x:c r="Y9" s="43"/>
      <x:c r="Z9" s="43"/>
    </x:row>
    <x:row r="10">
      <x:c r="A10" s="45"/>
      <x:c r="B10" s="45"/>
      <x:c r="C10" s="45"/>
      <x:c r="D10" s="45"/>
      <x:c r="E10" s="45"/>
      <x:c r="F10" s="45"/>
      <x:c r="G10" s="45"/>
      <x:c r="H10" s="45"/>
      <x:c r="I10" s="45"/>
      <x:c r="J10" s="45"/>
      <x:c r="K10" s="45"/>
      <x:c r="L10" s="45"/>
      <x:c r="M10" s="45"/>
      <x:c r="N10" s="45"/>
      <x:c r="O10" s="43"/>
      <x:c r="P10" s="43"/>
      <x:c r="Q10" s="43"/>
      <x:c r="R10" s="43"/>
      <x:c r="S10" s="43"/>
      <x:c r="T10" s="43"/>
      <x:c r="U10" s="43"/>
      <x:c r="V10" s="43"/>
      <x:c r="W10" s="43"/>
      <x:c r="X10" s="43"/>
      <x:c r="Y10" s="43"/>
      <x:c r="Z10" s="43"/>
    </x:row>
    <x:row r="11">
      <x:c r="A11" s="45"/>
      <x:c r="B11" s="45"/>
      <x:c r="C11" s="45"/>
      <x:c r="D11" s="45"/>
      <x:c r="E11" s="45"/>
      <x:c r="F11" s="45"/>
      <x:c r="G11" s="45"/>
      <x:c r="H11" s="45"/>
      <x:c r="I11" s="45"/>
      <x:c r="J11" s="45"/>
      <x:c r="K11" s="45"/>
      <x:c r="L11" s="45"/>
      <x:c r="M11" s="45"/>
      <x:c r="N11" s="45"/>
      <x:c r="O11" s="43"/>
      <x:c r="P11" s="43"/>
      <x:c r="Q11" s="43"/>
      <x:c r="R11" s="43"/>
      <x:c r="S11" s="43"/>
      <x:c r="T11" s="43"/>
      <x:c r="U11" s="43"/>
      <x:c r="V11" s="43"/>
      <x:c r="W11" s="43"/>
      <x:c r="X11" s="43"/>
      <x:c r="Y11" s="43"/>
      <x:c r="Z11" s="43"/>
    </x:row>
    <x:row r="12">
      <x:c r="A12" s="45"/>
      <x:c r="B12" s="45"/>
      <x:c r="C12" s="45"/>
      <x:c r="D12" s="45"/>
      <x:c r="E12" s="45"/>
      <x:c r="F12" s="45"/>
      <x:c r="G12" s="45"/>
      <x:c r="H12" s="45"/>
      <x:c r="I12" s="45"/>
      <x:c r="J12" s="45"/>
      <x:c r="K12" s="45"/>
      <x:c r="L12" s="45"/>
      <x:c r="M12" s="45"/>
      <x:c r="N12" s="45"/>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M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85" hidden="0" customWidth="1"/>
    <x:col min="5" max="5" width="12" hidden="0" customWidth="1"/>
    <x:col min="6" max="6" width="90" hidden="0" customWidth="1"/>
    <x:col min="7" max="7" width="45" hidden="0" customWidth="1"/>
    <x:col min="8" max="8" width="14" hidden="0" customWidth="1"/>
  </x:cols>
  <x:sheetData>
    <x:row r="1">
      <x:c r="A1" s="42" t="str">
        <x:v>Codebook impact — v1.1 → final v1.3</x:v>
      </x:c>
      <x:c r="B1" s="42"/>
      <x:c r="C1" s="42"/>
      <x:c r="D1" s="42"/>
      <x:c r="E1" s="42"/>
      <x:c r="F1" s="42"/>
      <x:c r="G1" s="42"/>
      <x:c r="H1" s="42"/>
      <x:c r="I1" s="42"/>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46" t="str">
        <x:v>Metric</x:v>
      </x:c>
      <x:c r="B3" s="46" t="str">
        <x:v>Value</x:v>
      </x:c>
      <x:c r="C3" s="46" t="str">
        <x:v>Share</x:v>
      </x:c>
      <x:c r="D3" s="46" t="str">
        <x:v>Interpretation</x:v>
      </x:c>
      <x:c r="E3" s="43"/>
      <x:c r="F3" s="43"/>
      <x:c r="G3" s="43"/>
      <x:c r="H3" s="43"/>
      <x:c r="I3" s="43"/>
      <x:c r="J3" s="43"/>
      <x:c r="K3" s="43"/>
      <x:c r="L3" s="43"/>
      <x:c r="M3" s="43"/>
      <x:c r="N3" s="43"/>
      <x:c r="O3" s="43"/>
      <x:c r="P3" s="43"/>
      <x:c r="Q3" s="43"/>
      <x:c r="R3" s="43"/>
      <x:c r="S3" s="43"/>
      <x:c r="T3" s="43"/>
      <x:c r="U3" s="43"/>
      <x:c r="V3" s="43"/>
      <x:c r="W3" s="43"/>
      <x:c r="X3" s="43"/>
      <x:c r="Y3" s="43"/>
      <x:c r="Z3" s="43"/>
    </x:row>
    <x:row r="4">
      <x:c r="A4" s="43" t="str">
        <x:v>Total interface decisions</x:v>
      </x:c>
      <x:c r="B4" s="43" t="n">
        <x:v>192</x:v>
      </x:c>
      <x:c r="C4" s="43" t="str">
        <x:v>—</x:v>
      </x:c>
      <x:c r="D4" s="43" t="str">
        <x:v>48 studies × 4 interfaces.</x:v>
      </x:c>
      <x:c r="E4" s="43"/>
      <x:c r="F4" s="43"/>
      <x:c r="G4" s="43"/>
      <x:c r="H4" s="43"/>
      <x:c r="I4" s="43"/>
      <x:c r="J4" s="43"/>
      <x:c r="K4" s="43"/>
      <x:c r="L4" s="43"/>
      <x:c r="M4" s="43"/>
      <x:c r="N4" s="43"/>
      <x:c r="O4" s="43"/>
      <x:c r="P4" s="43"/>
      <x:c r="Q4" s="43"/>
      <x:c r="R4" s="43"/>
      <x:c r="S4" s="43"/>
      <x:c r="T4" s="43"/>
      <x:c r="U4" s="43"/>
      <x:c r="V4" s="43"/>
      <x:c r="W4" s="43"/>
      <x:c r="X4" s="43"/>
      <x:c r="Y4" s="43"/>
      <x:c r="Z4" s="43"/>
    </x:row>
    <x:row r="5">
      <x:c r="A5" s="43" t="str">
        <x:v>Real code changes v1.1→v1.3</x:v>
      </x:c>
      <x:c r="B5" s="43" t="n">
        <x:v>35</x:v>
      </x:c>
      <x:c r="C5" s="54" t="n">
        <x:f>B5/B4</x:f>
        <x:v>0.18229166666666666</x:v>
      </x:c>
      <x:c r="D5" s="43" t="str">
        <x:v>18.2% of all decisions changed relative to v1.1; changes were confined to I23 and IM1.</x:v>
      </x:c>
      <x:c r="E5" s="43"/>
      <x:c r="F5" s="43"/>
      <x:c r="G5" s="43"/>
      <x:c r="H5" s="43"/>
      <x:c r="I5" s="43"/>
      <x:c r="J5" s="43"/>
      <x:c r="K5" s="43"/>
      <x:c r="L5" s="43"/>
      <x:c r="M5" s="43"/>
      <x:c r="N5" s="43"/>
      <x:c r="O5" s="43"/>
      <x:c r="P5" s="43"/>
      <x:c r="Q5" s="43"/>
      <x:c r="R5" s="43"/>
      <x:c r="S5" s="43"/>
      <x:c r="T5" s="43"/>
      <x:c r="U5" s="43"/>
      <x:c r="V5" s="43"/>
      <x:c r="W5" s="43"/>
      <x:c r="X5" s="43"/>
      <x:c r="Y5" s="43"/>
      <x:c r="Z5" s="43"/>
    </x:row>
    <x:row r="6">
      <x:c r="A6" s="43" t="str">
        <x:v>I23 changes</x:v>
      </x:c>
      <x:c r="B6" s="43" t="n">
        <x:v>25</x:v>
      </x:c>
      <x:c r="C6" s="54" t="n">
        <x:f>B6/B4</x:f>
        <x:v>0.13020833333333334</x:v>
      </x:c>
      <x:c r="D6" s="43" t="str">
        <x:v>I23 was the only interface whose aggregate final distribution changed materially under v1.3.</x:v>
      </x:c>
      <x:c r="E6" s="43"/>
      <x:c r="F6" s="43"/>
      <x:c r="G6" s="43"/>
      <x:c r="H6" s="43"/>
      <x:c r="I6" s="43"/>
      <x:c r="J6" s="43"/>
      <x:c r="K6" s="43"/>
      <x:c r="L6" s="43"/>
      <x:c r="M6" s="43"/>
      <x:c r="N6" s="43"/>
      <x:c r="O6" s="43"/>
      <x:c r="P6" s="43"/>
      <x:c r="Q6" s="43"/>
      <x:c r="R6" s="43"/>
      <x:c r="S6" s="43"/>
      <x:c r="T6" s="43"/>
      <x:c r="U6" s="43"/>
      <x:c r="V6" s="43"/>
      <x:c r="W6" s="43"/>
      <x:c r="X6" s="43"/>
      <x:c r="Y6" s="43"/>
      <x:c r="Z6" s="43"/>
    </x:row>
    <x:row r="7">
      <x:c r="A7" s="43" t="str">
        <x:v>IM1 changes</x:v>
      </x:c>
      <x:c r="B7" s="43" t="n">
        <x:v>10</x:v>
      </x:c>
      <x:c r="C7" s="54" t="n">
        <x:f>B7/B4</x:f>
        <x:v>0.052083333333333336</x:v>
      </x:c>
      <x:c r="D7" s="43" t="str">
        <x:v>IM1 aggregate totals remained 2D/8P/38ND, but the identity of 10 P/ND cases changed under the minimum event→diagnosis anchor.</x:v>
      </x:c>
      <x:c r="E7" s="43"/>
      <x:c r="F7" s="43"/>
      <x:c r="G7" s="43"/>
      <x:c r="H7" s="43"/>
      <x:c r="I7" s="43"/>
      <x:c r="J7" s="43"/>
      <x:c r="K7" s="43"/>
      <x:c r="L7" s="43"/>
      <x:c r="M7" s="43"/>
      <x:c r="N7" s="43"/>
      <x:c r="O7" s="43"/>
      <x:c r="P7" s="43"/>
      <x:c r="Q7" s="43"/>
      <x:c r="R7" s="43"/>
      <x:c r="S7" s="43"/>
      <x:c r="T7" s="43"/>
      <x:c r="U7" s="43"/>
      <x:c r="V7" s="43"/>
      <x:c r="W7" s="43"/>
      <x:c r="X7" s="43"/>
      <x:c r="Y7" s="43"/>
      <x:c r="Z7" s="43"/>
    </x:row>
    <x:row r="8">
      <x:c r="A8" s="43" t="str">
        <x:v>I12 + I3M changes</x:v>
      </x:c>
      <x:c r="B8" s="43" t="n">
        <x:v>0</x:v>
      </x:c>
      <x:c r="C8" s="54" t="n">
        <x:f>B8/B4</x:f>
        <x:v>0</x:v>
      </x:c>
      <x:c r="D8" s="43" t="str">
        <x:v>The final I12 and I3M rules remained stable across the v1.3 recoding.</x:v>
      </x:c>
      <x:c r="E8" s="43"/>
      <x:c r="F8" s="43"/>
      <x:c r="G8" s="43"/>
      <x:c r="H8" s="43"/>
      <x:c r="I8" s="43"/>
      <x:c r="J8" s="43"/>
      <x:c r="K8" s="43"/>
      <x:c r="L8" s="43"/>
      <x:c r="M8" s="43"/>
      <x:c r="N8" s="43"/>
      <x:c r="O8" s="43"/>
      <x:c r="P8" s="43"/>
      <x:c r="Q8" s="43"/>
      <x:c r="R8" s="43"/>
      <x:c r="S8" s="43"/>
      <x:c r="T8" s="43"/>
      <x:c r="U8" s="43"/>
      <x:c r="V8" s="43"/>
      <x:c r="W8" s="43"/>
      <x:c r="X8" s="43"/>
      <x:c r="Y8" s="43"/>
      <x:c r="Z8" s="43"/>
    </x:row>
    <x:row r="9">
      <x:c r="A9" s="43"/>
      <x:c r="B9" s="43"/>
      <x:c r="C9" s="43"/>
      <x:c r="D9" s="43"/>
      <x:c r="E9" s="43"/>
      <x:c r="F9" s="43"/>
      <x:c r="G9" s="43"/>
      <x:c r="H9" s="43"/>
      <x:c r="I9" s="43"/>
      <x:c r="J9" s="43"/>
      <x:c r="K9" s="43"/>
      <x:c r="L9" s="43"/>
      <x:c r="M9" s="43"/>
      <x:c r="N9" s="43"/>
      <x:c r="O9" s="43"/>
      <x:c r="P9" s="43"/>
      <x:c r="Q9" s="43"/>
      <x:c r="R9" s="43"/>
      <x:c r="S9" s="43"/>
      <x:c r="T9" s="43"/>
      <x:c r="U9" s="43"/>
      <x:c r="V9" s="43"/>
      <x:c r="W9" s="43"/>
      <x:c r="X9" s="43"/>
      <x:c r="Y9" s="43"/>
      <x:c r="Z9" s="43"/>
    </x:row>
    <x:row r="10">
      <x:c r="A10" s="43"/>
      <x:c r="B10" s="43"/>
      <x:c r="C10" s="43"/>
      <x:c r="D10" s="43"/>
      <x:c r="E10" s="43"/>
      <x:c r="F10" s="43"/>
      <x:c r="G10" s="43"/>
      <x:c r="H10" s="43"/>
      <x:c r="I10" s="43"/>
      <x:c r="J10" s="43"/>
      <x:c r="K10" s="43"/>
      <x:c r="L10" s="43"/>
      <x:c r="M10" s="43"/>
      <x:c r="N10" s="43"/>
      <x:c r="O10" s="43"/>
      <x:c r="P10" s="43"/>
      <x:c r="Q10" s="43"/>
      <x:c r="R10" s="43"/>
      <x:c r="S10" s="43"/>
      <x:c r="T10" s="43"/>
      <x:c r="U10" s="43"/>
      <x:c r="V10" s="43"/>
      <x:c r="W10" s="43"/>
      <x:c r="X10" s="43"/>
      <x:c r="Y10" s="43"/>
      <x:c r="Z10" s="43"/>
    </x:row>
    <x:row r="11">
      <x:c r="A11" s="46" t="str">
        <x:v>Interface</x:v>
      </x:c>
      <x:c r="B11" s="46" t="str">
        <x:v>Transition</x:v>
      </x:c>
      <x:c r="C11" s="46" t="str">
        <x:v>Count</x:v>
      </x:c>
      <x:c r="D11" s="46" t="str">
        <x:v>Interpretation</x:v>
      </x:c>
      <x:c r="E11" s="46" t="str">
        <x:v>Net D effect</x:v>
      </x:c>
      <x:c r="F11" s="46" t="str">
        <x:v>Methodological reading</x:v>
      </x:c>
      <x:c r="G11" s="43"/>
      <x:c r="H11" s="43"/>
      <x:c r="I11" s="43"/>
      <x:c r="J11" s="43"/>
      <x:c r="K11" s="43"/>
      <x:c r="L11" s="43"/>
      <x:c r="M11" s="43"/>
      <x:c r="N11" s="43"/>
      <x:c r="O11" s="43"/>
      <x:c r="P11" s="43"/>
      <x:c r="Q11" s="43"/>
      <x:c r="R11" s="43"/>
      <x:c r="S11" s="43"/>
      <x:c r="T11" s="43"/>
      <x:c r="U11" s="43"/>
      <x:c r="V11" s="43"/>
      <x:c r="W11" s="43"/>
      <x:c r="X11" s="43"/>
      <x:c r="Y11" s="43"/>
      <x:c r="Z11" s="43"/>
    </x:row>
    <x:row r="12">
      <x:c r="A12" s="43" t="str">
        <x:v>I23</x:v>
      </x:c>
      <x:c r="B12" s="43" t="str">
        <x:v>P→ND</x:v>
      </x:c>
      <x:c r="C12" s="43" t="n">
        <x:v>19</x:v>
      </x:c>
      <x:c r="D12" s="43" t="str">
        <x:v>Minimum bounded requirement→specific configured capability anchor absent.</x:v>
      </x:c>
      <x:c r="E12" s="43" t="str">
        <x:v>-</x:v>
      </x:c>
      <x:c r="F12" s="43" t="str">
        <x:v>v1.3 prevents generic need↔technology-class mappings from receiving P.</x:v>
      </x:c>
      <x:c r="G12" s="43"/>
      <x:c r="H12" s="43"/>
      <x:c r="I12" s="43"/>
      <x:c r="J12" s="43"/>
      <x:c r="K12" s="43"/>
      <x:c r="L12" s="43"/>
      <x:c r="M12" s="43"/>
      <x:c r="N12" s="43"/>
      <x:c r="O12" s="43"/>
      <x:c r="P12" s="43"/>
      <x:c r="Q12" s="43"/>
      <x:c r="R12" s="43"/>
      <x:c r="S12" s="43"/>
      <x:c r="T12" s="43"/>
      <x:c r="U12" s="43"/>
      <x:c r="V12" s="43"/>
      <x:c r="W12" s="43"/>
      <x:c r="X12" s="43"/>
      <x:c r="Y12" s="43"/>
      <x:c r="Z12" s="43"/>
    </x:row>
    <x:row r="13">
      <x:c r="A13" s="43" t="str">
        <x:v>I23</x:v>
      </x:c>
      <x:c r="B13" s="43" t="str">
        <x:v>P→D</x:v>
      </x:c>
      <x:c r="C13" s="43" t="n">
        <x:v>5</x:v>
      </x:c>
      <x:c r="D13" s="43" t="str">
        <x:v>A complete bounded subexample was reconstructable within the publication.</x:v>
      </x:c>
      <x:c r="E13" s="43" t="str">
        <x:v>+</x:v>
      </x:c>
      <x:c r="F13" s="43" t="str">
        <x:v>v1.3 also allows stronger coding when all four elements are explicitly preserved in one example.</x:v>
      </x:c>
      <x:c r="G13" s="43"/>
      <x:c r="H13" s="43"/>
      <x:c r="I13" s="43"/>
      <x:c r="J13" s="43"/>
      <x:c r="K13" s="43"/>
      <x:c r="L13" s="43"/>
      <x:c r="M13" s="43"/>
      <x:c r="N13" s="43"/>
      <x:c r="O13" s="43"/>
      <x:c r="P13" s="43"/>
      <x:c r="Q13" s="43"/>
      <x:c r="R13" s="43"/>
      <x:c r="S13" s="43"/>
      <x:c r="T13" s="43"/>
      <x:c r="U13" s="43"/>
      <x:c r="V13" s="43"/>
      <x:c r="W13" s="43"/>
      <x:c r="X13" s="43"/>
      <x:c r="Y13" s="43"/>
      <x:c r="Z13" s="43"/>
    </x:row>
    <x:row r="14">
      <x:c r="A14" s="43" t="str">
        <x:v>I23</x:v>
      </x:c>
      <x:c r="B14" s="43" t="str">
        <x:v>D→P</x:v>
      </x:c>
      <x:c r="C14" s="43" t="n">
        <x:v>1</x:v>
      </x:c>
      <x:c r="D14" s="43" t="str">
        <x:v>Anchor present, but criterion-linked test/result chain was not complete.</x:v>
      </x:c>
      <x:c r="E14" s="43" t="str">
        <x:v>-</x:v>
      </x:c>
      <x:c r="F14" s="43" t="str">
        <x:v>The rule is not uniformly permissive or restrictive.</x:v>
      </x:c>
      <x:c r="G14" s="43"/>
      <x:c r="H14" s="43"/>
      <x:c r="I14" s="43"/>
      <x:c r="J14" s="43"/>
      <x:c r="K14" s="43"/>
      <x:c r="L14" s="43"/>
      <x:c r="M14" s="43"/>
      <x:c r="N14" s="43"/>
      <x:c r="O14" s="43"/>
      <x:c r="P14" s="43"/>
      <x:c r="Q14" s="43"/>
      <x:c r="R14" s="43"/>
      <x:c r="S14" s="43"/>
      <x:c r="T14" s="43"/>
      <x:c r="U14" s="43"/>
      <x:c r="V14" s="43"/>
      <x:c r="W14" s="43"/>
      <x:c r="X14" s="43"/>
      <x:c r="Y14" s="43"/>
      <x:c r="Z14" s="43"/>
    </x:row>
    <x:row r="15">
      <x:c r="A15" s="43" t="str">
        <x:v>IM1</x:v>
      </x:c>
      <x:c r="B15" s="43" t="str">
        <x:v>P→ND</x:v>
      </x:c>
      <x:c r="C15" s="43" t="n">
        <x:v>5</x:v>
      </x:c>
      <x:c r="D15" s="43" t="str">
        <x:v>No bounded operational event→diagnosis anchor after applying v1.2/v1.3 boundary.</x:v>
      </x:c>
      <x:c r="E15" s="43" t="str">
        <x:v>0 aggregate</x:v>
      </x:c>
      <x:c r="F15" s="43" t="str">
        <x:v>Artifact iteration, generic feedback or automatic adaptation are excluded.</x:v>
      </x:c>
      <x:c r="G15" s="43"/>
      <x:c r="H15" s="43"/>
      <x:c r="I15" s="43"/>
      <x:c r="J15" s="43"/>
      <x:c r="K15" s="43"/>
      <x:c r="L15" s="43"/>
      <x:c r="M15" s="43"/>
      <x:c r="N15" s="43"/>
      <x:c r="O15" s="43"/>
      <x:c r="P15" s="43"/>
      <x:c r="Q15" s="43"/>
      <x:c r="R15" s="43"/>
      <x:c r="S15" s="43"/>
      <x:c r="T15" s="43"/>
      <x:c r="U15" s="43"/>
      <x:c r="V15" s="43"/>
      <x:c r="W15" s="43"/>
      <x:c r="X15" s="43"/>
      <x:c r="Y15" s="43"/>
      <x:c r="Z15" s="43"/>
    </x:row>
    <x:row r="16">
      <x:c r="A16" s="43" t="str">
        <x:v>IM1</x:v>
      </x:c>
      <x:c r="B16" s="43" t="str">
        <x:v>ND→P</x:v>
      </x:c>
      <x:c r="C16" s="43" t="n">
        <x:v>5</x:v>
      </x:c>
      <x:c r="D16" s="43" t="str">
        <x:v>A bounded operational event/result was explicitly linked to diagnosis/causal interpretation.</x:v>
      </x:c>
      <x:c r="E16" s="43" t="str">
        <x:v>0 aggregate</x:v>
      </x:c>
      <x:c r="F16" s="43" t="str">
        <x:v>P requires the event→diagnosis anchor even without implemented change/retest.</x:v>
      </x:c>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6" t="str">
        <x:v>ID</x:v>
      </x:c>
      <x:c r="B19" s="46" t="str">
        <x:v>Interface</x:v>
      </x:c>
      <x:c r="C19" s="46" t="str">
        <x:v>v1.1</x:v>
      </x:c>
      <x:c r="D19" s="46" t="str">
        <x:v>v1.3</x:v>
      </x:c>
      <x:c r="E19" s="46" t="str">
        <x:v>Direction</x:v>
      </x:c>
      <x:c r="F19" s="46" t="str">
        <x:v>Reason</x:v>
      </x:c>
      <x:c r="G19" s="46" t="str">
        <x:v>Rule applied</x:v>
      </x:c>
      <x:c r="H19" s="46" t="str">
        <x:v>Status</x:v>
      </x:c>
      <x:c r="I19" s="43"/>
      <x:c r="J19" s="43"/>
      <x:c r="K19" s="43"/>
      <x:c r="L19" s="43"/>
      <x:c r="M19" s="43"/>
      <x:c r="N19" s="43"/>
      <x:c r="O19" s="43"/>
      <x:c r="P19" s="43"/>
      <x:c r="Q19" s="43"/>
      <x:c r="R19" s="43"/>
      <x:c r="S19" s="43"/>
      <x:c r="T19" s="43"/>
      <x:c r="U19" s="43"/>
      <x:c r="V19" s="43"/>
      <x:c r="W19" s="43"/>
      <x:c r="X19" s="43"/>
      <x:c r="Y19" s="43"/>
      <x:c r="Z19" s="43"/>
    </x:row>
    <x:row r="20">
      <x:c r="A20" s="45" t="str">
        <x:v>S1-007</x:v>
      </x:c>
      <x:c r="B20" s="45" t="str">
        <x:v>I23</x:v>
      </x:c>
      <x:c r="C20" s="45" t="str">
        <x:v>P</x:v>
      </x:c>
      <x:c r="D20" s="45" t="str">
        <x:v>ND</x:v>
      </x:c>
      <x:c r="E20" s="45" t="str">
        <x:v>P→ND</x:v>
      </x:c>
      <x:c r="F20" s="45" t="str">
        <x:v>v1.3 now requires a bounded application requirement/criterion → specific configured capability anchor for P. This review provides only broad needs mapped to generic IoT technology classes and does not reconstruct that bounded anchor.</x:v>
      </x:c>
      <x:c r="G20" s="45" t="str">
        <x:v>I23-C1; I23-C2; I23-C5; I23-C6; G9</x:v>
      </x:c>
      <x:c r="H20" s="45" t="str">
        <x:v>FINAL</x:v>
      </x:c>
      <x:c r="I20" s="43"/>
      <x:c r="J20" s="43"/>
      <x:c r="K20" s="43"/>
      <x:c r="L20" s="43"/>
      <x:c r="M20" s="43"/>
      <x:c r="N20" s="43"/>
      <x:c r="O20" s="43"/>
      <x:c r="P20" s="43"/>
      <x:c r="Q20" s="43"/>
      <x:c r="R20" s="43"/>
      <x:c r="S20" s="43"/>
      <x:c r="T20" s="43"/>
      <x:c r="U20" s="43"/>
      <x:c r="V20" s="43"/>
      <x:c r="W20" s="43"/>
      <x:c r="X20" s="43"/>
      <x:c r="Y20" s="43"/>
      <x:c r="Z20" s="43"/>
    </x:row>
    <x:row r="21">
      <x:c r="A21" s="45" t="str">
        <x:v>S1-009</x:v>
      </x:c>
      <x:c r="B21" s="45" t="str">
        <x:v>IM1</x:v>
      </x:c>
      <x:c r="C21" s="45" t="str">
        <x:v>P</x:v>
      </x:c>
      <x:c r="D21" s="45" t="str">
        <x:v>ND</x:v>
      </x:c>
      <x:c r="E21" s="45" t="str">
        <x:v>P→ND</x:v>
      </x:c>
      <x:c r="F21" s="45" t="str">
        <x:v>The v1.2 IM1 clarification retained in v1.3 requires a bounded operational event/experience explicitly linked to a diagnosis for P. General organizational learning, gradual trials, scaling and contextual technical improvement do not reconstruct that mandatory anchor.</x:v>
      </x:c>
      <x:c r="G21" s="45" t="str">
        <x:v>IM1-C1; G8</x:v>
      </x:c>
      <x:c r="H21" s="45" t="str">
        <x:v>FINAL</x:v>
      </x:c>
      <x:c r="I21" s="43"/>
      <x:c r="J21" s="43"/>
      <x:c r="K21" s="43"/>
      <x:c r="L21" s="43"/>
      <x:c r="M21" s="43"/>
      <x:c r="N21" s="43"/>
      <x:c r="O21" s="43"/>
      <x:c r="P21" s="43"/>
      <x:c r="Q21" s="43"/>
      <x:c r="R21" s="43"/>
      <x:c r="S21" s="43"/>
      <x:c r="T21" s="43"/>
      <x:c r="U21" s="43"/>
      <x:c r="V21" s="43"/>
      <x:c r="W21" s="43"/>
      <x:c r="X21" s="43"/>
      <x:c r="Y21" s="43"/>
      <x:c r="Z21" s="43"/>
    </x:row>
    <x:row r="22">
      <x:c r="A22" s="45" t="str">
        <x:v>S1-012</x:v>
      </x:c>
      <x:c r="B22" s="45" t="str">
        <x:v>I23</x:v>
      </x:c>
      <x:c r="C22" s="45" t="str">
        <x:v>P</x:v>
      </x:c>
      <x:c r="D22" s="45" t="str">
        <x:v>ND</x:v>
      </x:c>
      <x:c r="E22" s="45" t="str">
        <x:v>P→ND</x:v>
      </x:c>
      <x:c r="F22" s="45" t="str">
        <x:v>TOE/system-dynamics sensitivity evidence is organization-level and cross-scale. No bounded agricultural application requirement is linked to one specific configured capability, so v1.3 requires ND rather than P.</x:v>
      </x:c>
      <x:c r="G22" s="45" t="str">
        <x:v>I23-C1; I23-C2; I23-C6; G9</x:v>
      </x:c>
      <x:c r="H22" s="45" t="str">
        <x:v>FINAL</x:v>
      </x:c>
      <x:c r="I22" s="43"/>
      <x:c r="J22" s="43"/>
      <x:c r="K22" s="43"/>
      <x:c r="L22" s="43"/>
      <x:c r="M22" s="43"/>
      <x:c r="N22" s="43"/>
      <x:c r="O22" s="43"/>
      <x:c r="P22" s="43"/>
      <x:c r="Q22" s="43"/>
      <x:c r="R22" s="43"/>
      <x:c r="S22" s="43"/>
      <x:c r="T22" s="43"/>
      <x:c r="U22" s="43"/>
      <x:c r="V22" s="43"/>
      <x:c r="W22" s="43"/>
      <x:c r="X22" s="43"/>
      <x:c r="Y22" s="43"/>
      <x:c r="Z22" s="43"/>
    </x:row>
    <x:row r="23">
      <x:c r="A23" s="45" t="str">
        <x:v>S1-014</x:v>
      </x:c>
      <x:c r="B23" s="45" t="str">
        <x:v>I23</x:v>
      </x:c>
      <x:c r="C23" s="45" t="str">
        <x:v>P</x:v>
      </x:c>
      <x:c r="D23" s="45" t="str">
        <x:v>ND</x:v>
      </x:c>
      <x:c r="E23" s="45" t="str">
        <x:v>P→ND</x:v>
      </x:c>
      <x:c r="F23" s="45" t="str">
        <x:v>v1.3 requires the bounded application requirement/criterion → specific configured capability anchor for I23=P. This paper evaluates a TIS/knowledge-transfer network and contains no bounded A2→A3 technology subexample satisfying I23-C1.</x:v>
      </x:c>
      <x:c r="G23" s="45" t="str">
        <x:v>I23-C1; I23-C2; I23-C6; G9</x:v>
      </x:c>
      <x:c r="H23" s="45" t="str">
        <x:v>FINAL</x:v>
      </x:c>
      <x:c r="I23" s="43"/>
      <x:c r="J23" s="43"/>
      <x:c r="K23" s="43"/>
      <x:c r="L23" s="43"/>
      <x:c r="M23" s="43"/>
      <x:c r="N23" s="43"/>
      <x:c r="O23" s="43"/>
      <x:c r="P23" s="43"/>
      <x:c r="Q23" s="43"/>
      <x:c r="R23" s="43"/>
      <x:c r="S23" s="43"/>
      <x:c r="T23" s="43"/>
      <x:c r="U23" s="43"/>
      <x:c r="V23" s="43"/>
      <x:c r="W23" s="43"/>
      <x:c r="X23" s="43"/>
      <x:c r="Y23" s="43"/>
      <x:c r="Z23" s="43"/>
    </x:row>
    <x:row r="24">
      <x:c r="A24" s="45" t="str">
        <x:v>S1-019</x:v>
      </x:c>
      <x:c r="B24" s="45" t="str">
        <x:v>IM1</x:v>
      </x:c>
      <x:c r="C24" s="45" t="str">
        <x:v>P</x:v>
      </x:c>
      <x:c r="D24" s="45" t="str">
        <x:v>ND</x:v>
      </x:c>
      <x:c r="E24" s="45" t="str">
        <x:v>P→ND</x:v>
      </x:c>
      <x:c r="F24" s="45" t="str">
        <x:v>Under the v1.2 IM1 clarification retained in v1.3, the paper's explicit iteration concerns refinement/validation of the IEMFAFE research artifact. The modeled PDCA/feedback structures do not document a bounded operational event→diagnosis anchor in a deployed agricultural system.</x:v>
      </x:c>
      <x:c r="G24" s="45" t="str">
        <x:v>IM1-C1; IM1-C2; IM1-C4</x:v>
      </x:c>
      <x:c r="H24" s="45" t="str">
        <x:v>FINAL</x:v>
      </x:c>
      <x:c r="I24" s="43"/>
      <x:c r="J24" s="43"/>
      <x:c r="K24" s="43"/>
      <x:c r="L24" s="43"/>
      <x:c r="M24" s="43"/>
      <x:c r="N24" s="43"/>
      <x:c r="O24" s="43"/>
      <x:c r="P24" s="43"/>
      <x:c r="Q24" s="43"/>
      <x:c r="R24" s="43"/>
      <x:c r="S24" s="43"/>
      <x:c r="T24" s="43"/>
      <x:c r="U24" s="43"/>
      <x:c r="V24" s="43"/>
      <x:c r="W24" s="43"/>
      <x:c r="X24" s="43"/>
      <x:c r="Y24" s="43"/>
      <x:c r="Z24" s="43"/>
    </x:row>
    <x:row r="25">
      <x:c r="A25" s="45" t="str">
        <x:v>S1-022</x:v>
      </x:c>
      <x:c r="B25" s="45" t="str">
        <x:v>I23</x:v>
      </x:c>
      <x:c r="C25" s="45" t="str">
        <x:v>P</x:v>
      </x:c>
      <x:c r="D25" s="45" t="str">
        <x:v>ND</x:v>
      </x:c>
      <x:c r="E25" s="45" t="str">
        <x:v>P→ND</x:v>
      </x:c>
      <x:c r="F25" s="45" t="str">
        <x:v>The review provides generic task-technology/adoption theory but no bounded application requirement/criterion → specific configured capability anchor. v1.3 therefore requires ND.</x:v>
      </x:c>
      <x:c r="G25" s="45" t="str">
        <x:v>I23-C1; I23-C2; I23-C5; I23-C6; G5</x:v>
      </x:c>
      <x:c r="H25" s="45" t="str">
        <x:v>FINAL</x:v>
      </x:c>
      <x:c r="I25" s="43"/>
      <x:c r="J25" s="43"/>
      <x:c r="K25" s="43"/>
      <x:c r="L25" s="43"/>
      <x:c r="M25" s="43"/>
      <x:c r="N25" s="43"/>
      <x:c r="O25" s="43"/>
      <x:c r="P25" s="43"/>
      <x:c r="Q25" s="43"/>
      <x:c r="R25" s="43"/>
      <x:c r="S25" s="43"/>
      <x:c r="T25" s="43"/>
      <x:c r="U25" s="43"/>
      <x:c r="V25" s="43"/>
      <x:c r="W25" s="43"/>
      <x:c r="X25" s="43"/>
      <x:c r="Y25" s="43"/>
      <x:c r="Z25" s="43"/>
    </x:row>
    <x:row r="26">
      <x:c r="A26" s="45" t="str">
        <x:v>S1-025</x:v>
      </x:c>
      <x:c r="B26" s="45" t="str">
        <x:v>IM1</x:v>
      </x:c>
      <x:c r="C26" s="45" t="str">
        <x:v>P</x:v>
      </x:c>
      <x:c r="D26" s="45" t="str">
        <x:v>ND</x:v>
      </x:c>
      <x:c r="E26" s="45" t="str">
        <x:v>P→ND</x:v>
      </x:c>
      <x:c r="F26" s="45" t="str">
        <x:v>The pTA sequence is a participatory/prospective assessment and strategy-development process, not a bounded operational deployment event explicitly linked to diagnosis. The mandatory IM1=P event→diagnosis anchor is absent.</x:v>
      </x:c>
      <x:c r="G26" s="45" t="str">
        <x:v>IM1-C1; IM1-C5; G4; G8</x:v>
      </x:c>
      <x:c r="H26" s="45" t="str">
        <x:v>FINAL</x:v>
      </x:c>
      <x:c r="I26" s="43"/>
      <x:c r="J26" s="43"/>
      <x:c r="K26" s="43"/>
      <x:c r="L26" s="43"/>
      <x:c r="M26" s="43"/>
      <x:c r="N26" s="43"/>
      <x:c r="O26" s="43"/>
      <x:c r="P26" s="43"/>
      <x:c r="Q26" s="43"/>
      <x:c r="R26" s="43"/>
      <x:c r="S26" s="43"/>
      <x:c r="T26" s="43"/>
      <x:c r="U26" s="43"/>
      <x:c r="V26" s="43"/>
      <x:c r="W26" s="43"/>
      <x:c r="X26" s="43"/>
      <x:c r="Y26" s="43"/>
      <x:c r="Z26" s="43"/>
    </x:row>
    <x:row r="27">
      <x:c r="A27" s="45" t="str">
        <x:v>S1-042</x:v>
      </x:c>
      <x:c r="B27" s="45" t="str">
        <x:v>I23</x:v>
      </x:c>
      <x:c r="C27" s="45" t="str">
        <x:v>D</x:v>
      </x:c>
      <x:c r="D27" s="45" t="str">
        <x:v>P</x:v>
      </x:c>
      <x:c r="E27" s="45" t="str">
        <x:v>D→P</x:v>
      </x:c>
      <x:c r="F27" s="45" t="str">
        <x:v>The bounded Nofence case satisfies the v1.3 requirement→specific capability anchor and includes real-world piloting, but readiness progression is not an explicit criterion-linked application test/result chain; D is therefore not warranted.</x:v>
      </x:c>
      <x:c r="G27" s="45" t="str">
        <x:v>I23-C1; I23-C3; I23-C4; I23-C6</x:v>
      </x:c>
      <x:c r="H27" s="45" t="str">
        <x:v>FINAL</x:v>
      </x:c>
      <x:c r="I27" s="43"/>
      <x:c r="J27" s="43"/>
      <x:c r="K27" s="43"/>
      <x:c r="L27" s="43"/>
      <x:c r="M27" s="43"/>
      <x:c r="N27" s="43"/>
      <x:c r="O27" s="43"/>
      <x:c r="P27" s="43"/>
      <x:c r="Q27" s="43"/>
      <x:c r="R27" s="43"/>
      <x:c r="S27" s="43"/>
      <x:c r="T27" s="43"/>
      <x:c r="U27" s="43"/>
      <x:c r="V27" s="43"/>
      <x:c r="W27" s="43"/>
      <x:c r="X27" s="43"/>
      <x:c r="Y27" s="43"/>
      <x:c r="Z27" s="43"/>
    </x:row>
    <x:row r="28">
      <x:c r="A28" s="45" t="str">
        <x:v>S1-042</x:v>
      </x:c>
      <x:c r="B28" s="45" t="str">
        <x:v>IM1</x:v>
      </x:c>
      <x:c r="C28" s="45" t="str">
        <x:v>P</x:v>
      </x:c>
      <x:c r="D28" s="45" t="str">
        <x:v>ND</x:v>
      </x:c>
      <x:c r="E28" s="45" t="str">
        <x:v>P→ND</x:v>
      </x:c>
      <x:c r="F28" s="45" t="str">
        <x:v>Historical improvement, customer feedback and readiness progression do not reconstruct one bounded operational event→diagnosis anchor attributable to a deployment/configuration change. v1.3 retains the stricter v1.2 IM1 boundary.</x:v>
      </x:c>
      <x:c r="G28" s="45" t="str">
        <x:v>IM1-C1; IM1-C4; G8; G10</x:v>
      </x:c>
      <x:c r="H28" s="45" t="str">
        <x:v>FINAL</x:v>
      </x:c>
      <x:c r="I28" s="43"/>
      <x:c r="J28" s="43"/>
      <x:c r="K28" s="43"/>
      <x:c r="L28" s="43"/>
      <x:c r="M28" s="43"/>
      <x:c r="N28" s="43"/>
      <x:c r="O28" s="43"/>
      <x:c r="P28" s="43"/>
      <x:c r="Q28" s="43"/>
      <x:c r="R28" s="43"/>
      <x:c r="S28" s="43"/>
      <x:c r="T28" s="43"/>
      <x:c r="U28" s="43"/>
      <x:c r="V28" s="43"/>
      <x:c r="W28" s="43"/>
      <x:c r="X28" s="43"/>
      <x:c r="Y28" s="43"/>
      <x:c r="Z28" s="43"/>
    </x:row>
    <x:row r="29">
      <x:c r="A29" s="45" t="str">
        <x:v>S1-046</x:v>
      </x:c>
      <x:c r="B29" s="45" t="str">
        <x:v>I23</x:v>
      </x:c>
      <x:c r="C29" s="45" t="str">
        <x:v>P</x:v>
      </x:c>
      <x:c r="D29" s="45" t="str">
        <x:v>ND</x:v>
      </x:c>
      <x:c r="E29" s="45" t="str">
        <x:v>P→ND</x:v>
      </x:c>
      <x:c r="F29" s="45" t="str">
        <x:v>v1.3 requires a bounded application requirement/criterion → one specific configured capability anchor for I23=P. The paper's proposed architecture remains prospective and maps broad farm needs to technology classes/modules; practical implementation and testing are explicitly future work.</x:v>
      </x:c>
      <x:c r="G29" s="45" t="str">
        <x:v>I23-C1; I23-C2; I23-C6; G9</x:v>
      </x:c>
      <x:c r="H29" s="45" t="str">
        <x:v>FINAL</x:v>
      </x:c>
      <x:c r="I29" s="43"/>
      <x:c r="J29" s="43"/>
      <x:c r="K29" s="43"/>
      <x:c r="L29" s="43"/>
      <x:c r="M29" s="43"/>
      <x:c r="N29" s="43"/>
      <x:c r="O29" s="43"/>
      <x:c r="P29" s="43"/>
      <x:c r="Q29" s="43"/>
      <x:c r="R29" s="43"/>
      <x:c r="S29" s="43"/>
      <x:c r="T29" s="43"/>
      <x:c r="U29" s="43"/>
      <x:c r="V29" s="43"/>
      <x:c r="W29" s="43"/>
      <x:c r="X29" s="43"/>
      <x:c r="Y29" s="43"/>
      <x:c r="Z29" s="43"/>
    </x:row>
    <x:row r="30">
      <x:c r="A30" s="45" t="str">
        <x:v>S1-049</x:v>
      </x:c>
      <x:c r="B30" s="45" t="str">
        <x:v>I23</x:v>
      </x:c>
      <x:c r="C30" s="45" t="str">
        <x:v>P</x:v>
      </x:c>
      <x:c r="D30" s="45" t="str">
        <x:v>ND</x:v>
      </x:c>
      <x:c r="E30" s="45" t="str">
        <x:v>P→ND</x:v>
      </x:c>
      <x:c r="F30" s="45" t="str">
        <x:v>The CODECS article is a cross-scale conceptual systems assessment. It links farmer/system needs to generic digital resources and digitalisation levels but reconstructs no bounded A2→A3 requirement→specific configured capability subexample.</x:v>
      </x:c>
      <x:c r="G30" s="45" t="str">
        <x:v>I23-C1; I23-C2; I23-C6; G9</x:v>
      </x:c>
      <x:c r="H30" s="45" t="str">
        <x:v>FINAL</x:v>
      </x:c>
      <x:c r="I30" s="43"/>
      <x:c r="J30" s="43"/>
      <x:c r="K30" s="43"/>
      <x:c r="L30" s="43"/>
      <x:c r="M30" s="43"/>
      <x:c r="N30" s="43"/>
      <x:c r="O30" s="43"/>
      <x:c r="P30" s="43"/>
      <x:c r="Q30" s="43"/>
      <x:c r="R30" s="43"/>
      <x:c r="S30" s="43"/>
      <x:c r="T30" s="43"/>
      <x:c r="U30" s="43"/>
      <x:c r="V30" s="43"/>
      <x:c r="W30" s="43"/>
      <x:c r="X30" s="43"/>
      <x:c r="Y30" s="43"/>
      <x:c r="Z30" s="43"/>
    </x:row>
    <x:row r="31">
      <x:c r="A31" s="45" t="str">
        <x:v>S1-050</x:v>
      </x:c>
      <x:c r="B31" s="45" t="str">
        <x:v>IM1</x:v>
      </x:c>
      <x:c r="C31" s="45" t="str">
        <x:v>P</x:v>
      </x:c>
      <x:c r="D31" s="45" t="str">
        <x:v>ND</x:v>
      </x:c>
      <x:c r="E31" s="45" t="str">
        <x:v>P→ND</x:v>
      </x:c>
      <x:c r="F31" s="45" t="str">
        <x:v>The three-year additions are reported as a phased implementation strategy rather than as changes caused by a specific diagnosed operational event. Threshold-based irrigation, drainage and pest-control loops are routine pre-programmed adaptation and do not satisfy IM1. The mandatory event→diagnosis anchor is therefore absent.</x:v>
      </x:c>
      <x:c r="G31" s="45" t="str">
        <x:v>IM1-C1; IM1-C4; G8; G10</x:v>
      </x:c>
      <x:c r="H31" s="45" t="str">
        <x:v>FINAL</x:v>
      </x:c>
      <x:c r="I31" s="43"/>
      <x:c r="J31" s="43"/>
      <x:c r="K31" s="43"/>
      <x:c r="L31" s="43"/>
      <x:c r="M31" s="43"/>
      <x:c r="N31" s="43"/>
      <x:c r="O31" s="43"/>
      <x:c r="P31" s="43"/>
      <x:c r="Q31" s="43"/>
      <x:c r="R31" s="43"/>
      <x:c r="S31" s="43"/>
      <x:c r="T31" s="43"/>
      <x:c r="U31" s="43"/>
      <x:c r="V31" s="43"/>
      <x:c r="W31" s="43"/>
      <x:c r="X31" s="43"/>
      <x:c r="Y31" s="43"/>
      <x:c r="Z31" s="43"/>
    </x:row>
    <x:row r="32">
      <x:c r="A32" s="45" t="str">
        <x:v>S1-051</x:v>
      </x:c>
      <x:c r="B32" s="45" t="str">
        <x:v>I23</x:v>
      </x:c>
      <x:c r="C32" s="45" t="str">
        <x:v>P</x:v>
      </x:c>
      <x:c r="D32" s="45" t="str">
        <x:v>ND</x:v>
      </x:c>
      <x:c r="E32" s="45" t="str">
        <x:v>P→ND</x:v>
      </x:c>
      <x:c r="F32" s="45" t="str">
        <x:v>v1.3 requires a bounded application requirement/criterion → specific configured capability anchor. This 620-study review maps broad needs and influencing factors to technology classes, but does not explicitly reconstruct one bounded primary-study A2→A3 anchor.</x:v>
      </x:c>
      <x:c r="G32" s="45" t="str">
        <x:v>I23-C1; I23-C2; I23-C5; I23-C6; G5; G9</x:v>
      </x:c>
      <x:c r="H32" s="45" t="str">
        <x:v>FINAL</x:v>
      </x:c>
      <x:c r="I32" s="43"/>
      <x:c r="J32" s="43"/>
      <x:c r="K32" s="43"/>
      <x:c r="L32" s="43"/>
      <x:c r="M32" s="43"/>
      <x:c r="N32" s="43"/>
      <x:c r="O32" s="43"/>
      <x:c r="P32" s="43"/>
      <x:c r="Q32" s="43"/>
      <x:c r="R32" s="43"/>
      <x:c r="S32" s="43"/>
      <x:c r="T32" s="43"/>
      <x:c r="U32" s="43"/>
      <x:c r="V32" s="43"/>
      <x:c r="W32" s="43"/>
      <x:c r="X32" s="43"/>
      <x:c r="Y32" s="43"/>
      <x:c r="Z32" s="43"/>
    </x:row>
    <x:row r="33">
      <x:c r="A33" s="45" t="str">
        <x:v>S1-052</x:v>
      </x:c>
      <x:c r="B33" s="45" t="str">
        <x:v>I23</x:v>
      </x:c>
      <x:c r="C33" s="45" t="str">
        <x:v>P</x:v>
      </x:c>
      <x:c r="D33" s="45" t="str">
        <x:v>ND</x:v>
      </x:c>
      <x:c r="E33" s="45" t="str">
        <x:v>P→ND</x:v>
      </x:c>
      <x:c r="F33" s="45" t="str">
        <x:v>The paper evaluates adoption constructs and IoT use duration/features at farmer-group level. It does not link one bounded agricultural application requirement/criterion to one specific configured IoT capability, so the mandatory v1.3 P anchor is absent.</x:v>
      </x:c>
      <x:c r="G33" s="45" t="str">
        <x:v>I23-C1; I23-C2; I23-C6; G9</x:v>
      </x:c>
      <x:c r="H33" s="45" t="str">
        <x:v>FINAL</x:v>
      </x:c>
      <x:c r="I33" s="43"/>
      <x:c r="J33" s="43"/>
      <x:c r="K33" s="43"/>
      <x:c r="L33" s="43"/>
      <x:c r="M33" s="43"/>
      <x:c r="N33" s="43"/>
      <x:c r="O33" s="43"/>
      <x:c r="P33" s="43"/>
      <x:c r="Q33" s="43"/>
      <x:c r="R33" s="43"/>
      <x:c r="S33" s="43"/>
      <x:c r="T33" s="43"/>
      <x:c r="U33" s="43"/>
      <x:c r="V33" s="43"/>
      <x:c r="W33" s="43"/>
      <x:c r="X33" s="43"/>
      <x:c r="Y33" s="43"/>
      <x:c r="Z33" s="43"/>
    </x:row>
    <x:row r="34">
      <x:c r="A34" s="45" t="str">
        <x:v>S1-056</x:v>
      </x:c>
      <x:c r="B34" s="45" t="str">
        <x:v>I23</x:v>
      </x:c>
      <x:c r="C34" s="45" t="str">
        <x:v>P</x:v>
      </x:c>
      <x:c r="D34" s="45" t="str">
        <x:v>ND</x:v>
      </x:c>
      <x:c r="E34" s="45" t="str">
        <x:v>P→ND</x:v>
      </x:c>
      <x:c r="F34" s="45" t="str">
        <x:v>TRAFC evaluates literature-synthesised RegTech technology/use-case classes and assigns readiness levels, but v1.3 requires a bounded application requirement/criterion → specific configured capability anchor for P. Readiness/TRL-style classification and generic technology classes do not satisfy that anchor.</x:v>
      </x:c>
      <x:c r="G34" s="45" t="str">
        <x:v>I23-C1; I23-C2; I23-C4; I23-C5; I23-C6; G9</x:v>
      </x:c>
      <x:c r="H34" s="45" t="str">
        <x:v>FINAL</x:v>
      </x:c>
      <x:c r="I34" s="43"/>
      <x:c r="J34" s="43"/>
      <x:c r="K34" s="43"/>
      <x:c r="L34" s="43"/>
      <x:c r="M34" s="43"/>
      <x:c r="N34" s="43"/>
      <x:c r="O34" s="43"/>
      <x:c r="P34" s="43"/>
      <x:c r="Q34" s="43"/>
      <x:c r="R34" s="43"/>
      <x:c r="S34" s="43"/>
      <x:c r="T34" s="43"/>
      <x:c r="U34" s="43"/>
      <x:c r="V34" s="43"/>
      <x:c r="W34" s="43"/>
      <x:c r="X34" s="43"/>
      <x:c r="Y34" s="43"/>
      <x:c r="Z34" s="43"/>
    </x:row>
    <x:row r="35">
      <x:c r="A35" s="45" t="str">
        <x:v>S1-057</x:v>
      </x:c>
      <x:c r="B35" s="45" t="str">
        <x:v>I23</x:v>
      </x:c>
      <x:c r="C35" s="45" t="str">
        <x:v>P</x:v>
      </x:c>
      <x:c r="D35" s="45" t="str">
        <x:v>ND</x:v>
      </x:c>
      <x:c r="E35" s="45" t="str">
        <x:v>P→ND</x:v>
      </x:c>
      <x:c r="F35" s="45" t="str">
        <x:v>The validation–deployment review aggregates performance, TRL, deployment-stage and barrier evidence across 99 publications and technology categories. It does not reconstruct one bounded primary-study requirement/criterion → specific configured capability anchor, so v1.3 requires ND.</x:v>
      </x:c>
      <x:c r="G35" s="45" t="str">
        <x:v>I23-C1; I23-C2; I23-C4; I23-C5; I23-C6; G5; G9</x:v>
      </x:c>
      <x:c r="H35" s="45" t="str">
        <x:v>FINAL</x:v>
      </x:c>
      <x:c r="I35" s="43"/>
      <x:c r="J35" s="43"/>
      <x:c r="K35" s="43"/>
      <x:c r="L35" s="43"/>
      <x:c r="M35" s="43"/>
      <x:c r="N35" s="43"/>
      <x:c r="O35" s="43"/>
      <x:c r="P35" s="43"/>
      <x:c r="Q35" s="43"/>
      <x:c r="R35" s="43"/>
      <x:c r="S35" s="43"/>
      <x:c r="T35" s="43"/>
      <x:c r="U35" s="43"/>
      <x:c r="V35" s="43"/>
      <x:c r="W35" s="43"/>
      <x:c r="X35" s="43"/>
      <x:c r="Y35" s="43"/>
      <x:c r="Z35" s="43"/>
    </x:row>
    <x:row r="36">
      <x:c r="A36" s="45" t="str">
        <x:v>S1-058</x:v>
      </x:c>
      <x:c r="B36" s="45" t="str">
        <x:v>I23</x:v>
      </x:c>
      <x:c r="C36" s="45" t="str">
        <x:v>P</x:v>
      </x:c>
      <x:c r="D36" s="45" t="str">
        <x:v>ND</x:v>
      </x:c>
      <x:c r="E36" s="45" t="str">
        <x:v>P→ND</x:v>
      </x:c>
      <x:c r="F36" s="45" t="str">
        <x:v>The maturity-stratified strategy proposes technology/intervention classes, pilots and success metrics by maturity level, but it does not reconstruct one bounded primary-study application requirement/criterion → specific configured capability example. Under v1.3 the mandatory P anchor is absent.</x:v>
      </x:c>
      <x:c r="G36" s="45" t="str">
        <x:v>I23-C1; I23-C2; I23-C5; I23-C6; G5; G9</x:v>
      </x:c>
      <x:c r="H36" s="45" t="str">
        <x:v>FINAL</x:v>
      </x:c>
      <x:c r="I36" s="43"/>
      <x:c r="J36" s="43"/>
      <x:c r="K36" s="43"/>
      <x:c r="L36" s="43"/>
      <x:c r="M36" s="43"/>
      <x:c r="N36" s="43"/>
      <x:c r="O36" s="43"/>
      <x:c r="P36" s="43"/>
      <x:c r="Q36" s="43"/>
      <x:c r="R36" s="43"/>
      <x:c r="S36" s="43"/>
      <x:c r="T36" s="43"/>
      <x:c r="U36" s="43"/>
      <x:c r="V36" s="43"/>
      <x:c r="W36" s="43"/>
      <x:c r="X36" s="43"/>
      <x:c r="Y36" s="43"/>
      <x:c r="Z36" s="43"/>
    </x:row>
    <x:row r="37">
      <x:c r="A37" s="45" t="str">
        <x:v>S1-068</x:v>
      </x:c>
      <x:c r="B37" s="45" t="str">
        <x:v>I23</x:v>
      </x:c>
      <x:c r="C37" s="45" t="str">
        <x:v>P</x:v>
      </x:c>
      <x:c r="D37" s="45" t="str">
        <x:v>ND</x:v>
      </x:c>
      <x:c r="E37" s="45" t="str">
        <x:v>P→ND</x:v>
      </x:c>
      <x:c r="F37" s="45" t="str">
        <x:v>CMM-SF evaluates organization-level digital-integration maturity across three farms. Under v1.3, farm system inventories and maturity scores do not satisfy I23 unless one bounded agricultural application requirement/criterion is explicitly linked to one specific configured technology capability. That mandatory anchor is absent.</x:v>
      </x:c>
      <x:c r="G37" s="45" t="str">
        <x:v>I23-C1; I23-C2; I23-C4; I23-C6; G9</x:v>
      </x:c>
      <x:c r="H37" s="45" t="str">
        <x:v>FINAL</x:v>
      </x:c>
      <x:c r="I37" s="43"/>
      <x:c r="J37" s="43"/>
      <x:c r="K37" s="43"/>
      <x:c r="L37" s="43"/>
      <x:c r="M37" s="43"/>
      <x:c r="N37" s="43"/>
      <x:c r="O37" s="43"/>
      <x:c r="P37" s="43"/>
      <x:c r="Q37" s="43"/>
      <x:c r="R37" s="43"/>
      <x:c r="S37" s="43"/>
      <x:c r="T37" s="43"/>
      <x:c r="U37" s="43"/>
      <x:c r="V37" s="43"/>
      <x:c r="W37" s="43"/>
      <x:c r="X37" s="43"/>
      <x:c r="Y37" s="43"/>
      <x:c r="Z37" s="43"/>
    </x:row>
    <x:row r="38">
      <x:c r="A38" s="45" t="str">
        <x:v>S1-084</x:v>
      </x:c>
      <x:c r="B38" s="45" t="str">
        <x:v>I23</x:v>
      </x:c>
      <x:c r="C38" s="45" t="str">
        <x:v>P</x:v>
      </x:c>
      <x:c r="D38" s="45" t="str">
        <x:v>ND</x:v>
      </x:c>
      <x:c r="E38" s="45" t="str">
        <x:v>P→ND</x:v>
      </x:c>
      <x:c r="F38" s="45" t="str">
        <x:v>The AHP study evaluates the regional technological innovation system and its functions/subfunctions, not a bounded agricultural application. Under v1.3, system-level TIS criteria, technology-option availability and performance scores cannot satisfy I23=P without an explicit application requirement/criterion → specific configured capability anchor.</x:v>
      </x:c>
      <x:c r="G38" s="45" t="str">
        <x:v>I23-C1; I23-C2; I23-C4; I23-C6; G9</x:v>
      </x:c>
      <x:c r="H38" s="45" t="str">
        <x:v>FINAL</x:v>
      </x:c>
      <x:c r="I38" s="43"/>
      <x:c r="J38" s="43"/>
      <x:c r="K38" s="43"/>
      <x:c r="L38" s="43"/>
      <x:c r="M38" s="43"/>
      <x:c r="N38" s="43"/>
      <x:c r="O38" s="43"/>
      <x:c r="P38" s="43"/>
      <x:c r="Q38" s="43"/>
      <x:c r="R38" s="43"/>
      <x:c r="S38" s="43"/>
      <x:c r="T38" s="43"/>
      <x:c r="U38" s="43"/>
      <x:c r="V38" s="43"/>
      <x:c r="W38" s="43"/>
      <x:c r="X38" s="43"/>
      <x:c r="Y38" s="43"/>
      <x:c r="Z38" s="43"/>
    </x:row>
    <x:row r="39">
      <x:c r="A39" s="45" t="str">
        <x:v>S1-095</x:v>
      </x:c>
      <x:c r="B39" s="45" t="str">
        <x:v>I23</x:v>
      </x:c>
      <x:c r="C39" s="45" t="str">
        <x:v>P</x:v>
      </x:c>
      <x:c r="D39" s="45" t="str">
        <x:v>ND</x:v>
      </x:c>
      <x:c r="E39" s="45" t="str">
        <x:v>P→ND</x:v>
      </x:c>
      <x:c r="F39" s="45" t="str">
        <x:v>The paper empirically measures farm digital maturity across socio-technical dimensions but does not link one bounded agricultural application requirement/criterion to one specific configured technology capability. Maturity dimensions, technology-use goals and percentile scores are cross-scale evidence; v1.3 therefore requires ND.</x:v>
      </x:c>
      <x:c r="G39" s="45" t="str">
        <x:v>I23-C1; I23-C2; I23-C4; I23-C6; G9</x:v>
      </x:c>
      <x:c r="H39" s="45" t="str">
        <x:v>FINAL</x:v>
      </x:c>
      <x:c r="I39" s="43"/>
      <x:c r="J39" s="43"/>
      <x:c r="K39" s="43"/>
      <x:c r="L39" s="43"/>
      <x:c r="M39" s="43"/>
      <x:c r="N39" s="43"/>
      <x:c r="O39" s="43"/>
      <x:c r="P39" s="43"/>
      <x:c r="Q39" s="43"/>
      <x:c r="R39" s="43"/>
      <x:c r="S39" s="43"/>
      <x:c r="T39" s="43"/>
      <x:c r="U39" s="43"/>
      <x:c r="V39" s="43"/>
      <x:c r="W39" s="43"/>
      <x:c r="X39" s="43"/>
      <x:c r="Y39" s="43"/>
      <x:c r="Z39" s="43"/>
    </x:row>
    <x:row r="40">
      <x:c r="A40" s="45" t="str">
        <x:v>S1-107</x:v>
      </x:c>
      <x:c r="B40" s="45" t="str">
        <x:v>I23</x:v>
      </x:c>
      <x:c r="C40" s="45" t="str">
        <x:v>P</x:v>
      </x:c>
      <x:c r="D40" s="45" t="str">
        <x:v>D</x:v>
      </x:c>
      <x:c r="E40" s="45" t="str">
        <x:v>P→D</x:v>
      </x:c>
      <x:c r="F40" s="45" t="str">
        <x:v>Under the v1.3 bounded-subexample and review rules, the review explicitly reconstructs one complete primary-study chain: precision sowing requirement → autonomous ground-based sowing vehicle with automated control → experimental evaluation → reported spacing/seed-delivery/dosing results. All four elements are contained in the same bounded example, so D is supported.</x:v>
      </x:c>
      <x:c r="G40" s="45" t="str">
        <x:v>I23-C3; I23-C4; I23-C5; I23-C6; G3; G5</x:v>
      </x:c>
      <x:c r="H40" s="45" t="str">
        <x:v>FINAL</x:v>
      </x:c>
      <x:c r="I40" s="43"/>
      <x:c r="J40" s="43"/>
      <x:c r="K40" s="43"/>
      <x:c r="L40" s="43"/>
      <x:c r="M40" s="43"/>
      <x:c r="N40" s="43"/>
      <x:c r="O40" s="43"/>
      <x:c r="P40" s="43"/>
      <x:c r="Q40" s="43"/>
      <x:c r="R40" s="43"/>
      <x:c r="S40" s="43"/>
      <x:c r="T40" s="43"/>
      <x:c r="U40" s="43"/>
      <x:c r="V40" s="43"/>
      <x:c r="W40" s="43"/>
      <x:c r="X40" s="43"/>
      <x:c r="Y40" s="43"/>
      <x:c r="Z40" s="43"/>
    </x:row>
    <x:row r="41">
      <x:c r="A41" s="45" t="str">
        <x:v>S1-114</x:v>
      </x:c>
      <x:c r="B41" s="45" t="str">
        <x:v>I23</x:v>
      </x:c>
      <x:c r="C41" s="45" t="str">
        <x:v>P</x:v>
      </x:c>
      <x:c r="D41" s="45" t="str">
        <x:v>ND</x:v>
      </x:c>
      <x:c r="E41" s="45" t="str">
        <x:v>P→ND</x:v>
      </x:c>
      <x:c r="F41" s="45" t="str">
        <x:v>The beekeeping study empirically evaluates adoption intention, but its honey-traceability need is linked only to generic blockchain properties. No bounded implementation identifies a specific configured technology capability. Under v1.3, generic need↔technology-class mappings do not satisfy the mandatory P anchor.</x:v>
      </x:c>
      <x:c r="G41" s="45" t="str">
        <x:v>I23-C1; I23-C2; I23-C4; I23-C6; G9</x:v>
      </x:c>
      <x:c r="H41" s="45" t="str">
        <x:v>FINAL</x:v>
      </x:c>
      <x:c r="I41" s="43"/>
      <x:c r="J41" s="43"/>
      <x:c r="K41" s="43"/>
      <x:c r="L41" s="43"/>
      <x:c r="M41" s="43"/>
      <x:c r="N41" s="43"/>
      <x:c r="O41" s="43"/>
      <x:c r="P41" s="43"/>
      <x:c r="Q41" s="43"/>
      <x:c r="R41" s="43"/>
      <x:c r="S41" s="43"/>
      <x:c r="T41" s="43"/>
      <x:c r="U41" s="43"/>
      <x:c r="V41" s="43"/>
      <x:c r="W41" s="43"/>
      <x:c r="X41" s="43"/>
      <x:c r="Y41" s="43"/>
      <x:c r="Z41" s="43"/>
    </x:row>
    <x:row r="42">
      <x:c r="A42" s="45" t="str">
        <x:v>S1-116</x:v>
      </x:c>
      <x:c r="B42" s="45" t="str">
        <x:v>IM1</x:v>
      </x:c>
      <x:c r="C42" s="45" t="str">
        <x:v>ND</x:v>
      </x:c>
      <x:c r="D42" s="45" t="str">
        <x:v>P</x:v>
      </x:c>
      <x:c r="E42" s="45" t="str">
        <x:v>ND→P</x:v>
      </x:c>
      <x:c r="F42" s="45" t="str">
        <x:v>The bounded ABIS case documents operational problems and explicitly diagnoses their people/process/institutional causes. v1.3 retains the v1.2 IM1 rule that event→diagnosis is the minimum P anchor; implemented change and retest are absent, so the correct code is P rather than D.</x:v>
      </x:c>
      <x:c r="G42" s="45" t="str">
        <x:v>IM1-C1; IM1-C5; G4; G10</x:v>
      </x:c>
      <x:c r="H42" s="45" t="str">
        <x:v>FINAL</x:v>
      </x:c>
      <x:c r="I42" s="43"/>
      <x:c r="J42" s="43"/>
      <x:c r="K42" s="43"/>
      <x:c r="L42" s="43"/>
      <x:c r="M42" s="43"/>
      <x:c r="N42" s="43"/>
      <x:c r="O42" s="43"/>
      <x:c r="P42" s="43"/>
      <x:c r="Q42" s="43"/>
      <x:c r="R42" s="43"/>
      <x:c r="S42" s="43"/>
      <x:c r="T42" s="43"/>
      <x:c r="U42" s="43"/>
      <x:c r="V42" s="43"/>
      <x:c r="W42" s="43"/>
      <x:c r="X42" s="43"/>
      <x:c r="Y42" s="43"/>
      <x:c r="Z42" s="43"/>
    </x:row>
    <x:row r="43">
      <x:c r="A43" s="45" t="str">
        <x:v>S1-117</x:v>
      </x:c>
      <x:c r="B43" s="45" t="str">
        <x:v>I23</x:v>
      </x:c>
      <x:c r="C43" s="45" t="str">
        <x:v>P</x:v>
      </x:c>
      <x:c r="D43" s="45" t="str">
        <x:v>D</x:v>
      </x:c>
      <x:c r="E43" s="45" t="str">
        <x:v>P→D</x:v>
      </x:c>
      <x:c r="F43" s="45" t="str">
        <x:v>The review explicitly reconstructs one bounded cattle/beef example: quality-safety traceability requirement → RFID-based traceability system → system evaluation with field/interview/document evidence → reported findings that the system was costly and not user-friendly. Under the v1.3 bounded-subexample and review rules, a negative application result still completes D.</x:v>
      </x:c>
      <x:c r="G43" s="45" t="str">
        <x:v>I23-C3; I23-C4; I23-C5; I23-C6; G3; G5</x:v>
      </x:c>
      <x:c r="H43" s="45" t="str">
        <x:v>FINAL</x:v>
      </x:c>
      <x:c r="I43" s="43"/>
      <x:c r="J43" s="43"/>
      <x:c r="K43" s="43"/>
      <x:c r="L43" s="43"/>
      <x:c r="M43" s="43"/>
      <x:c r="N43" s="43"/>
      <x:c r="O43" s="43"/>
      <x:c r="P43" s="43"/>
      <x:c r="Q43" s="43"/>
      <x:c r="R43" s="43"/>
      <x:c r="S43" s="43"/>
      <x:c r="T43" s="43"/>
      <x:c r="U43" s="43"/>
      <x:c r="V43" s="43"/>
      <x:c r="W43" s="43"/>
      <x:c r="X43" s="43"/>
      <x:c r="Y43" s="43"/>
      <x:c r="Z43" s="43"/>
    </x:row>
    <x:row r="44">
      <x:c r="A44" s="45" t="str">
        <x:v>S1-117</x:v>
      </x:c>
      <x:c r="B44" s="45" t="str">
        <x:v>IM1</x:v>
      </x:c>
      <x:c r="C44" s="45" t="str">
        <x:v>ND</x:v>
      </x:c>
      <x:c r="D44" s="45" t="str">
        <x:v>P</x:v>
      </x:c>
      <x:c r="E44" s="45" t="str">
        <x:v>ND→P</x:v>
      </x:c>
      <x:c r="F44" s="45" t="str">
        <x:v>A bounded Swiss livestock traceability example reports an operational event (software updates) and explicitly attributes renewed user confusion/re-familiarization to that event. The frozen v1.3 IM1 rule requires only event→diagnosis/causal interpretation for P; no implemented configuration change or retest is reported, so the code is P, not D.</x:v>
      </x:c>
      <x:c r="G44" s="45" t="str">
        <x:v>IM1-C1; IM1-C3; IM1-C5; G5; G8</x:v>
      </x:c>
      <x:c r="H44" s="45" t="str">
        <x:v>FINAL</x:v>
      </x:c>
      <x:c r="I44" s="43"/>
      <x:c r="J44" s="43"/>
      <x:c r="K44" s="43"/>
      <x:c r="L44" s="43"/>
      <x:c r="M44" s="43"/>
      <x:c r="N44" s="43"/>
      <x:c r="O44" s="43"/>
      <x:c r="P44" s="43"/>
      <x:c r="Q44" s="43"/>
      <x:c r="R44" s="43"/>
      <x:c r="S44" s="43"/>
      <x:c r="T44" s="43"/>
      <x:c r="U44" s="43"/>
      <x:c r="V44" s="43"/>
      <x:c r="W44" s="43"/>
      <x:c r="X44" s="43"/>
      <x:c r="Y44" s="43"/>
      <x:c r="Z44" s="43"/>
    </x:row>
    <x:row r="45">
      <x:c r="A45" s="45" t="str">
        <x:v>S2-007</x:v>
      </x:c>
      <x:c r="B45" s="45" t="str">
        <x:v>IM1</x:v>
      </x:c>
      <x:c r="C45" s="45" t="str">
        <x:v>ND</x:v>
      </x:c>
      <x:c r="D45" s="45" t="str">
        <x:v>P</x:v>
      </x:c>
      <x:c r="E45" s="45" t="str">
        <x:v>ND→P</x:v>
      </x:c>
      <x:c r="F45" s="45" t="str">
        <x:v>Real-world Meta Ag field testing produced a false-positive access event and the paper explicitly diagnosed it as caused by an incorrectly drawn geofence boundary intersected by a road. Under the frozen v1.3 IM1 rule, the bounded event→diagnosis anchor is sufficient for P; no implemented correction followed by retest is reported, so D is not supported.</x:v>
      </x:c>
      <x:c r="G45" s="45" t="str">
        <x:v>IM1-C1; IM1-C5; G8</x:v>
      </x:c>
      <x:c r="H45" s="45" t="str">
        <x:v>FINAL</x:v>
      </x:c>
      <x:c r="I45" s="43"/>
      <x:c r="J45" s="43"/>
      <x:c r="K45" s="43"/>
      <x:c r="L45" s="43"/>
      <x:c r="M45" s="43"/>
      <x:c r="N45" s="43"/>
      <x:c r="O45" s="43"/>
      <x:c r="P45" s="43"/>
      <x:c r="Q45" s="43"/>
      <x:c r="R45" s="43"/>
      <x:c r="S45" s="43"/>
      <x:c r="T45" s="43"/>
      <x:c r="U45" s="43"/>
      <x:c r="V45" s="43"/>
      <x:c r="W45" s="43"/>
      <x:c r="X45" s="43"/>
      <x:c r="Y45" s="43"/>
      <x:c r="Z45" s="43"/>
    </x:row>
    <x:row r="46">
      <x:c r="A46" s="45" t="str">
        <x:v>S2-010</x:v>
      </x:c>
      <x:c r="B46" s="45" t="str">
        <x:v>I23</x:v>
      </x:c>
      <x:c r="C46" s="45" t="str">
        <x:v>P</x:v>
      </x:c>
      <x:c r="D46" s="45" t="str">
        <x:v>D</x:v>
      </x:c>
      <x:c r="E46" s="45" t="str">
        <x:v>P→D</x:v>
      </x:c>
      <x:c r="F46" s="45" t="str">
        <x:v>The review explicitly reconstructs one bounded Tolentino et al. [52] example: desired water-quality levels → a specific IoT monitoring and automatic-correction configuration using a heater, sodium-bicarbonate distributor, solenoid valve and water pump → actual operation/evaluation → six water-quality parameters maintained within the desired level. Under the v1.3 bounded-subexample and review rules, this complete chain supports D.</x:v>
      </x:c>
      <x:c r="G46" s="45" t="str">
        <x:v>I23-C3; I23-C4; I23-C5; I23-C6; G3; G5</x:v>
      </x:c>
      <x:c r="H46" s="45" t="str">
        <x:v>FINAL</x:v>
      </x:c>
      <x:c r="I46" s="43"/>
      <x:c r="J46" s="43"/>
      <x:c r="K46" s="43"/>
      <x:c r="L46" s="43"/>
      <x:c r="M46" s="43"/>
      <x:c r="N46" s="43"/>
      <x:c r="O46" s="43"/>
      <x:c r="P46" s="43"/>
      <x:c r="Q46" s="43"/>
      <x:c r="R46" s="43"/>
      <x:c r="S46" s="43"/>
      <x:c r="T46" s="43"/>
      <x:c r="U46" s="43"/>
      <x:c r="V46" s="43"/>
      <x:c r="W46" s="43"/>
      <x:c r="X46" s="43"/>
      <x:c r="Y46" s="43"/>
      <x:c r="Z46" s="43"/>
    </x:row>
    <x:row r="47">
      <x:c r="A47" s="45" t="str">
        <x:v>S2-011</x:v>
      </x:c>
      <x:c r="B47" s="45" t="str">
        <x:v>I23</x:v>
      </x:c>
      <x:c r="C47" s="45" t="str">
        <x:v>P</x:v>
      </x:c>
      <x:c r="D47" s="45" t="str">
        <x:v>ND</x:v>
      </x:c>
      <x:c r="E47" s="45" t="str">
        <x:v>P→ND</x:v>
      </x:c>
      <x:c r="F47" s="45" t="str">
        <x:v>Under v1.3, the survey's broad mapping from smart-agriculture requirements to energy harvesting, networking, edge/fog/cloud and other technology classes does not preserve one bounded application requirement/criterion explicitly linked to one specific configured capability. The mandatory P anchor is therefore absent.</x:v>
      </x:c>
      <x:c r="G47" s="45" t="str">
        <x:v>I23-C1; I23-C2; I23-C5; I23-C6; G5; G9</x:v>
      </x:c>
      <x:c r="H47" s="45" t="str">
        <x:v>FINAL</x:v>
      </x:c>
      <x:c r="I47" s="43"/>
      <x:c r="J47" s="43"/>
      <x:c r="K47" s="43"/>
      <x:c r="L47" s="43"/>
      <x:c r="M47" s="43"/>
      <x:c r="N47" s="43"/>
      <x:c r="O47" s="43"/>
      <x:c r="P47" s="43"/>
      <x:c r="Q47" s="43"/>
      <x:c r="R47" s="43"/>
      <x:c r="S47" s="43"/>
      <x:c r="T47" s="43"/>
      <x:c r="U47" s="43"/>
      <x:c r="V47" s="43"/>
      <x:c r="W47" s="43"/>
      <x:c r="X47" s="43"/>
      <x:c r="Y47" s="43"/>
      <x:c r="Z47" s="43"/>
    </x:row>
    <x:row r="48">
      <x:c r="A48" s="45" t="str">
        <x:v>S2-012</x:v>
      </x:c>
      <x:c r="B48" s="45" t="str">
        <x:v>I23</x:v>
      </x:c>
      <x:c r="C48" s="45" t="str">
        <x:v>P</x:v>
      </x:c>
      <x:c r="D48" s="45" t="str">
        <x:v>ND</x:v>
      </x:c>
      <x:c r="E48" s="45" t="str">
        <x:v>P→ND</x:v>
      </x:c>
      <x:c r="F48" s="45" t="str">
        <x:v>The review's application tables associate application areas with AI-model classes, sensor types and regions, but do not explicitly reconstruct one bounded primary-study example containing an application requirement/criterion linked to one specific configured capability. Under v1.3, category-level mappings do not satisfy the minimum I23 P anchor.</x:v>
      </x:c>
      <x:c r="G48" s="45" t="str">
        <x:v>I23-C1; I23-C2; I23-C5; I23-C6; G5; G9</x:v>
      </x:c>
      <x:c r="H48" s="45" t="str">
        <x:v>FINAL</x:v>
      </x:c>
      <x:c r="I48" s="43"/>
      <x:c r="J48" s="43"/>
      <x:c r="K48" s="43"/>
      <x:c r="L48" s="43"/>
      <x:c r="M48" s="43"/>
      <x:c r="N48" s="43"/>
      <x:c r="O48" s="43"/>
      <x:c r="P48" s="43"/>
      <x:c r="Q48" s="43"/>
      <x:c r="R48" s="43"/>
      <x:c r="S48" s="43"/>
      <x:c r="T48" s="43"/>
      <x:c r="U48" s="43"/>
      <x:c r="V48" s="43"/>
      <x:c r="W48" s="43"/>
      <x:c r="X48" s="43"/>
      <x:c r="Y48" s="43"/>
      <x:c r="Z48" s="43"/>
    </x:row>
    <x:row r="49">
      <x:c r="A49" s="45" t="str">
        <x:v>S2-022</x:v>
      </x:c>
      <x:c r="B49" s="45" t="str">
        <x:v>I23</x:v>
      </x:c>
      <x:c r="C49" s="45" t="str">
        <x:v>P</x:v>
      </x:c>
      <x:c r="D49" s="45" t="str">
        <x:v>ND</x:v>
      </x:c>
      <x:c r="E49" s="45" t="str">
        <x:v>P→ND</x:v>
      </x:c>
      <x:c r="F49" s="45" t="str">
        <x:v>The systematic review synthesizes adoption needs, drivers/barriers and broad technology categories, but it does not reconstruct one bounded agricultural application requirement/acceptance criterion explicitly linked to one specific configured technology capability in the same primary-study example. Under the frozen v1.3 mandatory P anchor, generic adoption/system-level need↔technology-class mappings are ND.</x:v>
      </x:c>
      <x:c r="G49" s="45" t="str">
        <x:v>I23-C1; I23-C2; I23-C3; I23-C5; I23-C6; G5; G9</x:v>
      </x:c>
      <x:c r="H49" s="45" t="str">
        <x:v>FINAL</x:v>
      </x:c>
      <x:c r="I49" s="43"/>
      <x:c r="J49" s="43"/>
      <x:c r="K49" s="43"/>
      <x:c r="L49" s="43"/>
      <x:c r="M49" s="43"/>
      <x:c r="N49" s="43"/>
      <x:c r="O49" s="43"/>
      <x:c r="P49" s="43"/>
      <x:c r="Q49" s="43"/>
      <x:c r="R49" s="43"/>
      <x:c r="S49" s="43"/>
      <x:c r="T49" s="43"/>
      <x:c r="U49" s="43"/>
      <x:c r="V49" s="43"/>
      <x:c r="W49" s="43"/>
      <x:c r="X49" s="43"/>
      <x:c r="Y49" s="43"/>
      <x:c r="Z49" s="43"/>
    </x:row>
    <x:row r="50">
      <x:c r="A50" s="45" t="str">
        <x:v>S2-024</x:v>
      </x:c>
      <x:c r="B50" s="45" t="str">
        <x:v>IM1</x:v>
      </x:c>
      <x:c r="C50" s="45" t="str">
        <x:v>ND</x:v>
      </x:c>
      <x:c r="D50" s="45" t="str">
        <x:v>P</x:v>
      </x:c>
      <x:c r="E50" s="45" t="str">
        <x:v>ND→P</x:v>
      </x:c>
      <x:c r="F50" s="45" t="str">
        <x:v>A bounded LiDAR variable-rate spraying example reports over-application in small canopy volumes and explicitly attributes it to the imposed minimum flow-rate constraint needed for proper spray formation. The frozen v1.3 IM1 rule requires only a bounded operational event/result plus explicit diagnosis/causal interpretation for P. No diagnosis-driven configuration change followed by retest is reported, so D is not supported.</x:v>
      </x:c>
      <x:c r="G50" s="45" t="str">
        <x:v>IM1-C1; IM1-C3; IM1-C5; G5; G8</x:v>
      </x:c>
      <x:c r="H50" s="45" t="str">
        <x:v>FINAL</x:v>
      </x:c>
      <x:c r="I50" s="43"/>
      <x:c r="J50" s="43"/>
      <x:c r="K50" s="43"/>
      <x:c r="L50" s="43"/>
      <x:c r="M50" s="43"/>
      <x:c r="N50" s="43"/>
      <x:c r="O50" s="43"/>
      <x:c r="P50" s="43"/>
      <x:c r="Q50" s="43"/>
      <x:c r="R50" s="43"/>
      <x:c r="S50" s="43"/>
      <x:c r="T50" s="43"/>
      <x:c r="U50" s="43"/>
      <x:c r="V50" s="43"/>
      <x:c r="W50" s="43"/>
      <x:c r="X50" s="43"/>
      <x:c r="Y50" s="43"/>
      <x:c r="Z50" s="43"/>
    </x:row>
    <x:row r="51">
      <x:c r="A51" s="45" t="str">
        <x:v>S2-027</x:v>
      </x:c>
      <x:c r="B51" s="45" t="str">
        <x:v>I23</x:v>
      </x:c>
      <x:c r="C51" s="45" t="str">
        <x:v>P</x:v>
      </x:c>
      <x:c r="D51" s="45" t="str">
        <x:v>ND</x:v>
      </x:c>
      <x:c r="E51" s="45" t="str">
        <x:v>P→ND</x:v>
      </x:c>
      <x:c r="F51" s="45" t="str">
        <x:v>The empirical AIS study evaluates acceptance/continuance configurations at a user/adoption level but does not reconstruct one bounded agricultural application requirement or criterion explicitly linked to one specific configured AIS capability. Under the frozen v1.3 mandatory I23 P anchor, usability/support constructs and generic AIS service use are insufficient, so the previous P becomes ND.</x:v>
      </x:c>
      <x:c r="G51" s="45" t="str">
        <x:v>I23-C1; I23-C2; I23-C6; G3; G9</x:v>
      </x:c>
      <x:c r="H51" s="45" t="str">
        <x:v>FINAL</x:v>
      </x:c>
      <x:c r="I51" s="43"/>
      <x:c r="J51" s="43"/>
      <x:c r="K51" s="43"/>
      <x:c r="L51" s="43"/>
      <x:c r="M51" s="43"/>
      <x:c r="N51" s="43"/>
      <x:c r="O51" s="43"/>
      <x:c r="P51" s="43"/>
      <x:c r="Q51" s="43"/>
      <x:c r="R51" s="43"/>
      <x:c r="S51" s="43"/>
      <x:c r="T51" s="43"/>
      <x:c r="U51" s="43"/>
      <x:c r="V51" s="43"/>
      <x:c r="W51" s="43"/>
      <x:c r="X51" s="43"/>
      <x:c r="Y51" s="43"/>
      <x:c r="Z51" s="43"/>
    </x:row>
    <x:row r="52">
      <x:c r="A52" s="45" t="str">
        <x:v>S2-028</x:v>
      </x:c>
      <x:c r="B52" s="45" t="str">
        <x:v>IM1</x:v>
      </x:c>
      <x:c r="C52" s="45" t="str">
        <x:v>ND</x:v>
      </x:c>
      <x:c r="D52" s="45" t="str">
        <x:v>P</x:v>
      </x:c>
      <x:c r="E52" s="45" t="str">
        <x:v>ND→P</x:v>
      </x:c>
      <x:c r="F52" s="45" t="str">
        <x:v>Within the review's bounded Martelli et al. processing-tomato example, multi-year field performance under severe thermal stress exposes a limitation and the publication explicitly diagnoses the DSS as needing greater heat-stress sensitivity. The frozen v1.3 IM1 rule requires a bounded operational event/experience plus diagnosis for P. No diagnosis-driven implemented modification and post-change retest are reported, so D is not supported.</x:v>
      </x:c>
      <x:c r="G52" s="45" t="str">
        <x:v>IM1 P threshold; IM1-C1; IM1-C3; IM1-C5; G5; G8</x:v>
      </x:c>
      <x:c r="H52" s="45" t="str">
        <x:v>FINAL</x:v>
      </x:c>
      <x:c r="I52" s="43"/>
      <x:c r="J52" s="43"/>
      <x:c r="K52" s="43"/>
      <x:c r="L52" s="43"/>
      <x:c r="M52" s="43"/>
      <x:c r="N52" s="43"/>
      <x:c r="O52" s="43"/>
      <x:c r="P52" s="43"/>
      <x:c r="Q52" s="43"/>
      <x:c r="R52" s="43"/>
      <x:c r="S52" s="43"/>
      <x:c r="T52" s="43"/>
      <x:c r="U52" s="43"/>
      <x:c r="V52" s="43"/>
      <x:c r="W52" s="43"/>
      <x:c r="X52" s="43"/>
      <x:c r="Y52" s="43"/>
      <x:c r="Z52" s="43"/>
    </x:row>
    <x:row r="53">
      <x:c r="A53" s="45" t="str">
        <x:v>S2-031</x:v>
      </x:c>
      <x:c r="B53" s="45" t="str">
        <x:v>I23</x:v>
      </x:c>
      <x:c r="C53" s="45" t="str">
        <x:v>P</x:v>
      </x:c>
      <x:c r="D53" s="45" t="str">
        <x:v>D</x:v>
      </x:c>
      <x:c r="E53" s="45" t="str">
        <x:v>P→D</x:v>
      </x:c>
      <x:c r="F53" s="45" t="str">
        <x:v>The frozen v1.3 clarification explicitly permits a review to be coded from one bounded primary-study subexample and recognizes an explicit operational problem as a valid application criterion. The Li et al. [165] subsoiling example contains the complete chain: dynamically changing soil conditions → line-structured-light DT capability → field/indoor experiments → criterion-linked processing/stability/reconstruction results. All four I23 elements are therefore traceable within one bounded example.</x:v>
      </x:c>
      <x:c r="G53" s="45" t="str">
        <x:v>I23-C1; I23-C3; I23-C4; I23-C5; I23-C6; G3; G5</x:v>
      </x:c>
      <x:c r="H53" s="45" t="str">
        <x:v>FINAL</x:v>
      </x:c>
      <x:c r="I53" s="43"/>
      <x:c r="J53" s="43"/>
      <x:c r="K53" s="43"/>
      <x:c r="L53" s="43"/>
      <x:c r="M53" s="43"/>
      <x:c r="N53" s="43"/>
      <x:c r="O53" s="43"/>
      <x:c r="P53" s="43"/>
      <x:c r="Q53" s="43"/>
      <x:c r="R53" s="43"/>
      <x:c r="S53" s="43"/>
      <x:c r="T53" s="43"/>
      <x:c r="U53" s="43"/>
      <x:c r="V53" s="43"/>
      <x:c r="W53" s="43"/>
      <x:c r="X53" s="43"/>
      <x:c r="Y53" s="43"/>
      <x:c r="Z53" s="43"/>
    </x:row>
    <x:row r="54">
      <x:c r="A54" s="45" t="str">
        <x:v>S2-034</x:v>
      </x:c>
      <x:c r="B54" s="45" t="str">
        <x:v>I23</x:v>
      </x:c>
      <x:c r="C54" s="45" t="str">
        <x:v>P</x:v>
      </x:c>
      <x:c r="D54" s="45" t="str">
        <x:v>D</x:v>
      </x:c>
      <x:c r="E54" s="45" t="str">
        <x:v>P→D</x:v>
      </x:c>
      <x:c r="F54" s="45" t="str">
        <x:v>The frozen v1.3 clarification permits a review to receive D when it reconstructs all four I23 elements within one bounded primary-study example. The Egypt smart-greenhouse example [81] states the desired automatic crop/season-specific environmental control and resource-efficiency function, describes the configured sensor/actuator soilless greenhouse capability, reports testing on Batavia lettuce, and gives criterion-linked outcomes (about 80% water and energy savings, doubled productivity per unit area, and vegetation period reduced from 75 to 45 days).</x:v>
      </x:c>
      <x:c r="G54" s="45" t="str">
        <x:v>I23-C1; I23-C3; I23-C4; I23-C5; I23-C6; G3; G5</x:v>
      </x:c>
      <x:c r="H54" s="45" t="str">
        <x:v>FINAL</x:v>
      </x:c>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I1"/>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8" hidden="0" customWidth="1"/>
    <x:col min="3" max="3" width="24" hidden="0" customWidth="1"/>
    <x:col min="4" max="4" width="10" hidden="0" customWidth="1"/>
    <x:col min="5" max="5" width="11" hidden="0" customWidth="1"/>
    <x:col min="6" max="6" width="22" hidden="0" customWidth="1"/>
    <x:col min="7" max="7" width="14" hidden="0" customWidth="1"/>
    <x:col min="8" max="8" width="75" hidden="0" customWidth="1"/>
    <x:col min="9" max="9" width="45" hidden="0" customWidth="1"/>
    <x:col min="10" max="10" width="70" hidden="0" customWidth="1"/>
  </x:cols>
  <x:sheetData>
    <x:row r="1">
      <x:c r="A1" s="42" t="str">
        <x:v>A3M Codebook calibration and independent-audit history</x:v>
      </x:c>
      <x:c r="B1" s="42"/>
      <x:c r="C1" s="42"/>
      <x:c r="D1" s="42"/>
      <x:c r="E1" s="42"/>
      <x:c r="F1" s="42"/>
      <x:c r="G1" s="42"/>
      <x:c r="H1" s="42"/>
      <x:c r="I1" s="42"/>
      <x:c r="J1" s="42"/>
      <x:c r="K1" s="43"/>
      <x:c r="L1" s="43"/>
      <x:c r="M1" s="43"/>
      <x:c r="N1" s="43"/>
      <x:c r="O1" s="43"/>
      <x:c r="P1" s="43"/>
      <x:c r="Q1" s="43"/>
      <x:c r="R1" s="43"/>
      <x:c r="S1" s="43"/>
      <x:c r="T1" s="43"/>
      <x:c r="U1" s="43"/>
      <x:c r="V1" s="43"/>
      <x:c r="W1" s="43"/>
      <x:c r="X1" s="43"/>
      <x:c r="Y1" s="43"/>
      <x:c r="Z1" s="43"/>
    </x:row>
    <x:row r="2">
      <x:c r="A2" s="44" t="str">
        <x:v>Reliability metrics must remain attached to the Codebook version and blind sample under which they were observed. The targeted third-reviewer exercise after v1.3 is a boundary-consistency challenge, not an additional reliability sample.</x:v>
      </x:c>
      <x:c r="B2" s="44"/>
      <x:c r="C2" s="44"/>
      <x:c r="D2" s="44"/>
      <x:c r="E2" s="44"/>
      <x:c r="F2" s="44"/>
      <x:c r="G2" s="44"/>
      <x:c r="H2" s="44"/>
      <x:c r="I2" s="44"/>
      <x:c r="J2" s="44"/>
      <x:c r="K2" s="43"/>
      <x:c r="L2" s="43"/>
      <x:c r="M2" s="43"/>
      <x:c r="N2" s="43"/>
      <x:c r="O2" s="43"/>
      <x:c r="P2" s="43"/>
      <x:c r="Q2" s="43"/>
      <x:c r="R2" s="43"/>
      <x:c r="S2" s="43"/>
      <x:c r="T2" s="43"/>
      <x:c r="U2" s="43"/>
      <x:c r="V2" s="43"/>
      <x:c r="W2" s="43"/>
      <x:c r="X2" s="43"/>
      <x:c r="Y2" s="43"/>
      <x:c r="Z2" s="43"/>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row>
    <x:row r="4">
      <x:c r="A4" s="46" t="str">
        <x:v>Stage</x:v>
      </x:c>
      <x:c r="B4" s="46" t="str">
        <x:v>Codebook</x:v>
      </x:c>
      <x:c r="C4" s="46" t="str">
        <x:v>Role</x:v>
      </x:c>
      <x:c r="D4" s="46" t="str">
        <x:v>Studies</x:v>
      </x:c>
      <x:c r="E4" s="46" t="str">
        <x:v>Decisions</x:v>
      </x:c>
      <x:c r="F4" s="46" t="str">
        <x:v>Exact agreement</x:v>
      </x:c>
      <x:c r="G4" s="46" t="str">
        <x:v>Cohen κ</x:v>
      </x:c>
      <x:c r="H4" s="46" t="str">
        <x:v>Per-interface result / trigger</x:v>
      </x:c>
      <x:c r="I4" s="46" t="str">
        <x:v>Propagation rule</x:v>
      </x:c>
      <x:c r="J4" s="46" t="str">
        <x:v>Interpretation</x:v>
      </x:c>
      <x:c r="K4" s="43"/>
      <x:c r="L4" s="43"/>
      <x:c r="M4" s="43"/>
      <x:c r="N4" s="43"/>
      <x:c r="O4" s="43"/>
      <x:c r="P4" s="43"/>
      <x:c r="Q4" s="43"/>
      <x:c r="R4" s="43"/>
      <x:c r="S4" s="43"/>
      <x:c r="T4" s="43"/>
      <x:c r="U4" s="43"/>
      <x:c r="V4" s="43"/>
      <x:c r="W4" s="43"/>
      <x:c r="X4" s="43"/>
      <x:c r="Y4" s="43"/>
      <x:c r="Z4" s="43"/>
    </x:row>
    <x:row r="5">
      <x:c r="A5" s="45" t="str">
        <x:v>Audit 1</x:v>
      </x:c>
      <x:c r="B5" s="45" t="str">
        <x:v>v1.0 / calibration</x:v>
      </x:c>
      <x:c r="C5" s="45" t="str">
        <x:v>Calibration sample</x:v>
      </x:c>
      <x:c r="D5" s="45" t="n">
        <x:v>12</x:v>
      </x:c>
      <x:c r="E5" s="45" t="n">
        <x:v>48</x:v>
      </x:c>
      <x:c r="F5" s="45" t="str">
        <x:v>20/48 agreement before adjudication</x:v>
      </x:c>
      <x:c r="G5" s="45" t="str">
        <x:v>Not used as final reliability</x:v>
      </x:c>
      <x:c r="H5" s="45" t="str">
        <x:v>28 disagreements exposed broad rule instability.</x:v>
      </x:c>
      <x:c r="I5" s="45" t="str">
        <x:v>No direct propagation as reliability estimate.</x:v>
      </x:c>
      <x:c r="J5" s="45" t="str">
        <x:v>Used to calibrate and freeze v1.1; post-adjudication κ must not be reported.</x:v>
      </x:c>
      <x:c r="K5" s="43"/>
      <x:c r="L5" s="43"/>
      <x:c r="M5" s="43"/>
      <x:c r="N5" s="43"/>
      <x:c r="O5" s="43"/>
      <x:c r="P5" s="43"/>
      <x:c r="Q5" s="43"/>
      <x:c r="R5" s="43"/>
      <x:c r="S5" s="43"/>
      <x:c r="T5" s="43"/>
      <x:c r="U5" s="43"/>
      <x:c r="V5" s="43"/>
      <x:c r="W5" s="43"/>
      <x:c r="X5" s="43"/>
      <x:c r="Y5" s="43"/>
      <x:c r="Z5" s="43"/>
    </x:row>
    <x:row r="6">
      <x:c r="A6" s="45" t="str">
        <x:v>Audit 2</x:v>
      </x:c>
      <x:c r="B6" s="45" t="str">
        <x:v>v1.1</x:v>
      </x:c>
      <x:c r="C6" s="45" t="str">
        <x:v>Post-calibration pilot</x:v>
      </x:c>
      <x:c r="D6" s="45" t="n">
        <x:v>12</x:v>
      </x:c>
      <x:c r="E6" s="45" t="n">
        <x:v>48</x:v>
      </x:c>
      <x:c r="F6" s="45" t="str">
        <x:v>39/48 = 81.25%</x:v>
      </x:c>
      <x:c r="G6" s="45" t="str">
        <x:v>0.686</x:v>
      </x:c>
      <x:c r="H6" s="45" t="str">
        <x:v>I12 100%; I23 83.3%; I3M 91.7%; IM1 50%.</x:v>
      </x:c>
      <x:c r="I6" s="45" t="str">
        <x:v>No master propagation.</x:v>
      </x:c>
      <x:c r="J6" s="45" t="str">
        <x:v>Pilot identified residual IM1 ambiguity.</x:v>
      </x:c>
      <x:c r="K6" s="43"/>
      <x:c r="L6" s="43"/>
      <x:c r="M6" s="43"/>
      <x:c r="N6" s="43"/>
      <x:c r="O6" s="43"/>
      <x:c r="P6" s="43"/>
      <x:c r="Q6" s="43"/>
      <x:c r="R6" s="43"/>
      <x:c r="S6" s="43"/>
      <x:c r="T6" s="43"/>
      <x:c r="U6" s="43"/>
      <x:c r="V6" s="43"/>
      <x:c r="W6" s="43"/>
      <x:c r="X6" s="43"/>
      <x:c r="Y6" s="43"/>
      <x:c r="Z6" s="43"/>
    </x:row>
    <x:row r="7">
      <x:c r="A7" s="45" t="str">
        <x:v>AUD3</x:v>
      </x:c>
      <x:c r="B7" s="45" t="str">
        <x:v>v1.1</x:v>
      </x:c>
      <x:c r="C7" s="45" t="str">
        <x:v>Fresh confirmatory sample</x:v>
      </x:c>
      <x:c r="D7" s="45" t="n">
        <x:v>12</x:v>
      </x:c>
      <x:c r="E7" s="45" t="n">
        <x:v>48</x:v>
      </x:c>
      <x:c r="F7" s="45" t="str">
        <x:v>40/48 = 83.3%</x:v>
      </x:c>
      <x:c r="G7" s="45" t="str">
        <x:v>0.730</x:v>
      </x:c>
      <x:c r="H7" s="45" t="str">
        <x:v>I12 100%; I23 83.3%; I3M 83.3%; IM1 66.7%. IM1 failed pre-specified ≥75%.</x:v>
      </x:c>
      <x:c r="I7" s="45" t="str">
        <x:v>No propagation; metrics frozen.</x:v>
      </x:c>
      <x:c r="J7" s="45" t="str">
        <x:v>Failure localized the IM1 boundary and motivated minimal v1.2 clarification.</x:v>
      </x:c>
      <x:c r="K7" s="43"/>
      <x:c r="L7" s="43"/>
      <x:c r="M7" s="43"/>
      <x:c r="N7" s="43"/>
      <x:c r="O7" s="43"/>
      <x:c r="P7" s="43"/>
      <x:c r="Q7" s="43"/>
      <x:c r="R7" s="43"/>
      <x:c r="S7" s="43"/>
      <x:c r="T7" s="43"/>
      <x:c r="U7" s="43"/>
      <x:c r="V7" s="43"/>
      <x:c r="W7" s="43"/>
      <x:c r="X7" s="43"/>
      <x:c r="Y7" s="43"/>
      <x:c r="Z7" s="43"/>
    </x:row>
    <x:row r="8">
      <x:c r="A8" s="45" t="str">
        <x:v>AUD4</x:v>
      </x:c>
      <x:c r="B8" s="45" t="str">
        <x:v>v1.2</x:v>
      </x:c>
      <x:c r="C8" s="45" t="str">
        <x:v>Final fresh confirmatory sample</x:v>
      </x:c>
      <x:c r="D8" s="45" t="n">
        <x:v>12</x:v>
      </x:c>
      <x:c r="E8" s="45" t="n">
        <x:v>48</x:v>
      </x:c>
      <x:c r="F8" s="45" t="str">
        <x:v>42/48 = 87.5%</x:v>
      </x:c>
      <x:c r="G8" s="45" t="str">
        <x:v>0.811</x:v>
      </x:c>
      <x:c r="H8" s="45" t="str">
        <x:v>I12 100%; I23 58.3%; I3M 91.7%; IM1 100%. I23 failed pre-specified ≥75%.</x:v>
      </x:c>
      <x:c r="I8" s="45" t="str">
        <x:v>No corpus propagation until rule clarification.</x:v>
      </x:c>
      <x:c r="J8" s="45" t="str">
        <x:v>Residual I23 disagreement motivated minimal v1.3 clarification.</x:v>
      </x:c>
      <x:c r="K8" s="43"/>
      <x:c r="L8" s="43"/>
      <x:c r="M8" s="43"/>
      <x:c r="N8" s="43"/>
      <x:c r="O8" s="43"/>
      <x:c r="P8" s="43"/>
      <x:c r="Q8" s="43"/>
      <x:c r="R8" s="43"/>
      <x:c r="S8" s="43"/>
      <x:c r="T8" s="43"/>
      <x:c r="U8" s="43"/>
      <x:c r="V8" s="43"/>
      <x:c r="W8" s="43"/>
      <x:c r="X8" s="43"/>
      <x:c r="Y8" s="43"/>
      <x:c r="Z8" s="43"/>
    </x:row>
    <x:row r="9">
      <x:c r="A9" s="45" t="str">
        <x:v>Third reviewer challenge</x:v>
      </x:c>
      <x:c r="B9" s="45" t="str">
        <x:v>v1.3</x:v>
      </x:c>
      <x:c r="C9" s="45" t="str">
        <x:v>Targeted six-case boundary consistency</x:v>
      </x:c>
      <x:c r="D9" s="45" t="n">
        <x:v>6</x:v>
      </x:c>
      <x:c r="E9" s="45" t="n">
        <x:v>6</x:v>
      </x:c>
      <x:c r="F9" s="45" t="str">
        <x:v>Not a reliability sample</x:v>
      </x:c>
      <x:c r="G9" s="45" t="str">
        <x:v>Not computed</x:v>
      </x:c>
      <x:c r="H9" s="45" t="str">
        <x:v>Six AUD4 disagreement cases only; one disagreement revealed an error in the prior key rather than a new Codebook ambiguity.</x:v>
      </x:c>
      <x:c r="I9" s="45" t="str">
        <x:v>No new κ; use only as boundary-consistency evidence.</x:v>
      </x:c>
      <x:c r="J9" s="45" t="str">
        <x:v>Confirmed the clarified I23 boundary before the 48-study final recoding.</x:v>
      </x:c>
      <x:c r="K9" s="43"/>
      <x:c r="L9" s="43"/>
      <x:c r="M9" s="43"/>
      <x:c r="N9" s="43"/>
      <x:c r="O9" s="43"/>
      <x:c r="P9" s="43"/>
      <x:c r="Q9" s="43"/>
      <x:c r="R9" s="43"/>
      <x:c r="S9" s="43"/>
      <x:c r="T9" s="43"/>
      <x:c r="U9" s="43"/>
      <x:c r="V9" s="43"/>
      <x:c r="W9" s="43"/>
      <x:c r="X9" s="43"/>
      <x:c r="Y9" s="43"/>
      <x:c r="Z9" s="43"/>
    </x:row>
    <x:row r="10">
      <x:c r="A10" s="45" t="str">
        <x:v>Final corpus recoding</x:v>
      </x:c>
      <x:c r="B10" s="45" t="str">
        <x:v>v1.3 FINAL-FROZEN</x:v>
      </x:c>
      <x:c r="C10" s="45" t="str">
        <x:v>Application to full evidence base</x:v>
      </x:c>
      <x:c r="D10" s="45" t="n">
        <x:v>48</x:v>
      </x:c>
      <x:c r="E10" s="45" t="n">
        <x:v>192</x:v>
      </x:c>
      <x:c r="F10" s="45" t="str">
        <x:v>Not an inter-rater sample</x:v>
      </x:c>
      <x:c r="G10" s="45" t="str">
        <x:v>Not applicable</x:v>
      </x:c>
      <x:c r="H10" s="45" t="str">
        <x:v>All 48 studies recoded under frozen rules; 192/192 evidence checks complete.</x:v>
      </x:c>
      <x:c r="I10" s="45" t="str">
        <x:v>Final analytical master.</x:v>
      </x:c>
      <x:c r="J10" s="45" t="str">
        <x:v>Use final v1.3 counts for manuscript synthesis; do not relabel AUD4 κ as v1.3 reliability.</x:v>
      </x:c>
      <x:c r="K10" s="43"/>
      <x:c r="L10" s="43"/>
      <x:c r="M10" s="43"/>
      <x:c r="N10" s="43"/>
      <x:c r="O10" s="43"/>
      <x:c r="P10" s="43"/>
      <x:c r="Q10" s="43"/>
      <x:c r="R10" s="43"/>
      <x:c r="S10" s="43"/>
      <x:c r="T10" s="43"/>
      <x:c r="U10" s="43"/>
      <x:c r="V10" s="43"/>
      <x:c r="W10" s="43"/>
      <x:c r="X10" s="43"/>
      <x:c r="Y10" s="43"/>
      <x:c r="Z10" s="43"/>
    </x:row>
    <x:row r="11">
      <x:c r="A11" s="43"/>
      <x:c r="B11" s="43"/>
      <x:c r="C11" s="43"/>
      <x:c r="D11" s="43"/>
      <x:c r="E11" s="43"/>
      <x:c r="F11" s="43"/>
      <x:c r="G11" s="43"/>
      <x:c r="H11" s="43"/>
      <x:c r="I11" s="43"/>
      <x:c r="J11" s="43"/>
      <x:c r="K11" s="43"/>
      <x:c r="L11" s="43"/>
      <x:c r="M11" s="43"/>
      <x:c r="N11" s="43"/>
      <x:c r="O11" s="43"/>
      <x:c r="P11" s="43"/>
      <x:c r="Q11" s="43"/>
      <x:c r="R11" s="43"/>
      <x:c r="S11" s="43"/>
      <x:c r="T11" s="43"/>
      <x:c r="U11" s="43"/>
      <x:c r="V11" s="43"/>
      <x:c r="W11" s="43"/>
      <x:c r="X11" s="43"/>
      <x:c r="Y11" s="43"/>
      <x:c r="Z11" s="43"/>
    </x:row>
    <x:row r="12">
      <x:c r="A12" s="43"/>
      <x:c r="B12" s="43"/>
      <x:c r="C12" s="43"/>
      <x:c r="D12" s="43"/>
      <x:c r="E12" s="43"/>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J1"/>
    <x:mergeCell ref="A2:J2"/>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4" hidden="0" customWidth="1"/>
    <x:col min="3" max="3" width="65" hidden="0" customWidth="1"/>
    <x:col min="4" max="4" width="22" hidden="0" customWidth="1"/>
    <x:col min="5" max="5" width="14" hidden="0" customWidth="1"/>
    <x:col min="6" max="6" width="3" hidden="0" customWidth="1"/>
    <x:col min="7" max="7" width="18" hidden="0" customWidth="1"/>
    <x:col min="8" max="8" width="13" hidden="0" customWidth="1"/>
    <x:col min="9" max="9" width="13" hidden="0" customWidth="1"/>
    <x:col min="10" max="10" width="13" hidden="0" customWidth="1"/>
    <x:col min="11" max="11" width="13" hidden="0" customWidth="1"/>
  </x:cols>
  <x:sheetData>
    <x:row r="1">
      <x:c r="A1" s="42" t="str">
        <x:v>A3M evidence synthesis — FINAL v1.3 (S1 + S2, 48 studies)</x:v>
      </x:c>
      <x:c r="B1" s="42"/>
      <x:c r="C1" s="42"/>
      <x:c r="D1" s="42"/>
      <x:c r="E1" s="42"/>
      <x:c r="F1" s="42"/>
      <x:c r="G1" s="42"/>
      <x:c r="H1" s="42"/>
      <x:c r="I1" s="42"/>
      <x:c r="J1" s="42"/>
      <x:c r="K1" s="45"/>
      <x:c r="L1" s="43"/>
      <x:c r="M1" s="43"/>
      <x:c r="N1" s="43"/>
      <x:c r="O1" s="43"/>
      <x:c r="P1" s="43"/>
      <x:c r="Q1" s="43"/>
      <x:c r="R1" s="43"/>
      <x:c r="S1" s="43"/>
      <x:c r="T1" s="43"/>
      <x:c r="U1" s="43"/>
      <x:c r="V1" s="43"/>
      <x:c r="W1" s="43"/>
      <x:c r="X1" s="43"/>
      <x:c r="Y1" s="43"/>
      <x:c r="Z1" s="43"/>
    </x:row>
    <x:row r="2">
      <x:c r="A2" s="45"/>
      <x:c r="B2" s="45"/>
      <x:c r="C2" s="45"/>
      <x:c r="D2" s="45"/>
      <x:c r="E2" s="45"/>
      <x:c r="F2" s="45"/>
      <x:c r="G2" s="45"/>
      <x:c r="H2" s="45"/>
      <x:c r="I2" s="45"/>
      <x:c r="J2" s="45"/>
      <x:c r="K2" s="45"/>
      <x:c r="L2" s="43"/>
      <x:c r="M2" s="43"/>
      <x:c r="N2" s="43"/>
      <x:c r="O2" s="43"/>
      <x:c r="P2" s="43"/>
      <x:c r="Q2" s="43"/>
      <x:c r="R2" s="43"/>
      <x:c r="S2" s="43"/>
      <x:c r="T2" s="43"/>
      <x:c r="U2" s="43"/>
      <x:c r="V2" s="43"/>
      <x:c r="W2" s="43"/>
      <x:c r="X2" s="43"/>
      <x:c r="Y2" s="43"/>
      <x:c r="Z2" s="43"/>
    </x:row>
    <x:row r="3">
      <x:c r="A3" s="46" t="str">
        <x:v>Metric</x:v>
      </x:c>
      <x:c r="B3" s="46" t="str">
        <x:v>Value</x:v>
      </x:c>
      <x:c r="C3" s="46" t="str">
        <x:v>Interpretation</x:v>
      </x:c>
      <x:c r="D3" s="46" t="str">
        <x:v>Status</x:v>
      </x:c>
      <x:c r="E3" s="45"/>
      <x:c r="F3" s="45"/>
      <x:c r="G3" s="45"/>
      <x:c r="H3" s="45"/>
      <x:c r="I3" s="45"/>
      <x:c r="J3" s="45"/>
      <x:c r="K3" s="45"/>
      <x:c r="L3" s="43"/>
      <x:c r="M3" s="43"/>
      <x:c r="N3" s="43"/>
      <x:c r="O3" s="43"/>
      <x:c r="P3" s="43"/>
      <x:c r="Q3" s="43"/>
      <x:c r="R3" s="43"/>
      <x:c r="S3" s="43"/>
      <x:c r="T3" s="43"/>
      <x:c r="U3" s="43"/>
      <x:c r="V3" s="43"/>
      <x:c r="W3" s="43"/>
      <x:c r="X3" s="43"/>
      <x:c r="Y3" s="43"/>
      <x:c r="Z3" s="43"/>
    </x:row>
    <x:row r="4">
      <x:c r="A4" s="45" t="str">
        <x:v>Unique included studies</x:v>
      </x:c>
      <x:c r="B4" s="45" t="n">
        <x:v>48</x:v>
      </x:c>
      <x:c r="C4" s="45" t="str">
        <x:v>29 S1 + 19 S2; unique by DOI.</x:v>
      </x:c>
      <x:c r="D4" s="45" t="str">
        <x:v>FINAL</x:v>
      </x:c>
      <x:c r="E4" s="45"/>
      <x:c r="F4" s="45"/>
      <x:c r="G4" s="45"/>
      <x:c r="H4" s="45"/>
      <x:c r="I4" s="45"/>
      <x:c r="J4" s="45"/>
      <x:c r="K4" s="45"/>
      <x:c r="L4" s="43"/>
      <x:c r="M4" s="43"/>
      <x:c r="N4" s="43"/>
      <x:c r="O4" s="43"/>
      <x:c r="P4" s="43"/>
      <x:c r="Q4" s="43"/>
      <x:c r="R4" s="43"/>
      <x:c r="S4" s="43"/>
      <x:c r="T4" s="43"/>
      <x:c r="U4" s="43"/>
      <x:c r="V4" s="43"/>
      <x:c r="W4" s="43"/>
      <x:c r="X4" s="43"/>
      <x:c r="Y4" s="43"/>
      <x:c r="Z4" s="43"/>
    </x:row>
    <x:row r="5">
      <x:c r="A5" s="45" t="str">
        <x:v>Interface decisions</x:v>
      </x:c>
      <x:c r="B5" s="45" t="n">
        <x:v>192</x:v>
      </x:c>
      <x:c r="C5" s="45" t="str">
        <x:v>48 studies × 4 interfaces.</x:v>
      </x:c>
      <x:c r="D5" s="45" t="str">
        <x:v>FINAL</x:v>
      </x:c>
      <x:c r="E5" s="45"/>
      <x:c r="F5" s="45"/>
      <x:c r="G5" s="45"/>
      <x:c r="H5" s="45"/>
      <x:c r="I5" s="45"/>
      <x:c r="J5" s="45"/>
      <x:c r="K5" s="45"/>
      <x:c r="L5" s="43"/>
      <x:c r="M5" s="43"/>
      <x:c r="N5" s="43"/>
      <x:c r="O5" s="43"/>
      <x:c r="P5" s="43"/>
      <x:c r="Q5" s="43"/>
      <x:c r="R5" s="43"/>
      <x:c r="S5" s="43"/>
      <x:c r="T5" s="43"/>
      <x:c r="U5" s="43"/>
      <x:c r="V5" s="43"/>
      <x:c r="W5" s="43"/>
      <x:c r="X5" s="43"/>
      <x:c r="Y5" s="43"/>
      <x:c r="Z5" s="43"/>
    </x:row>
    <x:row r="6">
      <x:c r="A6" s="45" t="str">
        <x:v>v1.1→v1.3 decisions changed</x:v>
      </x:c>
      <x:c r="B6" s="45" t="n">
        <x:v>35</x:v>
      </x:c>
      <x:c r="C6" s="45" t="str">
        <x:v>18.2% of all interface decisions; 25 I23 + 10 IM1.</x:v>
      </x:c>
      <x:c r="D6" s="45" t="str">
        <x:v>FINAL CODEBOOK IMPACT</x:v>
      </x:c>
      <x:c r="E6" s="45"/>
      <x:c r="F6" s="45"/>
      <x:c r="G6" s="45"/>
      <x:c r="H6" s="45"/>
      <x:c r="I6" s="45"/>
      <x:c r="J6" s="45"/>
      <x:c r="K6" s="45"/>
      <x:c r="L6" s="43"/>
      <x:c r="M6" s="43"/>
      <x:c r="N6" s="43"/>
      <x:c r="O6" s="43"/>
      <x:c r="P6" s="43"/>
      <x:c r="Q6" s="43"/>
      <x:c r="R6" s="43"/>
      <x:c r="S6" s="43"/>
      <x:c r="T6" s="43"/>
      <x:c r="U6" s="43"/>
      <x:c r="V6" s="43"/>
      <x:c r="W6" s="43"/>
      <x:c r="X6" s="43"/>
      <x:c r="Y6" s="43"/>
      <x:c r="Z6" s="43"/>
    </x:row>
    <x:row r="7">
      <x:c r="A7" s="45" t="str">
        <x:v>Conceptual evidence (C)</x:v>
      </x:c>
      <x:c r="B7" s="45" t="n">
        <x:v>24</x:v>
      </x:c>
      <x:c r="C7" s="45" t="str">
        <x:v>50.0% of studies.</x:v>
      </x:c>
      <x:c r="D7" s="45" t="str">
        <x:v>DESCRIPTIVE</x:v>
      </x:c>
      <x:c r="E7" s="45"/>
      <x:c r="F7" s="45"/>
      <x:c r="G7" s="45"/>
      <x:c r="H7" s="45"/>
      <x:c r="I7" s="45"/>
      <x:c r="J7" s="45"/>
      <x:c r="K7" s="45"/>
      <x:c r="L7" s="43"/>
      <x:c r="M7" s="43"/>
      <x:c r="N7" s="43"/>
      <x:c r="O7" s="43"/>
      <x:c r="P7" s="43"/>
      <x:c r="Q7" s="43"/>
      <x:c r="R7" s="43"/>
      <x:c r="S7" s="43"/>
      <x:c r="T7" s="43"/>
      <x:c r="U7" s="43"/>
      <x:c r="V7" s="43"/>
      <x:c r="W7" s="43"/>
      <x:c r="X7" s="43"/>
      <x:c r="Y7" s="43"/>
      <x:c r="Z7" s="43"/>
    </x:row>
    <x:row r="8">
      <x:c r="A8" s="45" t="str">
        <x:v>Mixed evidence (M)</x:v>
      </x:c>
      <x:c r="B8" s="45" t="n">
        <x:v>14</x:v>
      </x:c>
      <x:c r="C8" s="45" t="str">
        <x:v>29.2% of studies.</x:v>
      </x:c>
      <x:c r="D8" s="45" t="str">
        <x:v>DESCRIPTIVE</x:v>
      </x:c>
      <x:c r="E8" s="45"/>
      <x:c r="F8" s="45"/>
      <x:c r="G8" s="45"/>
      <x:c r="H8" s="45"/>
      <x:c r="I8" s="45"/>
      <x:c r="J8" s="45"/>
      <x:c r="K8" s="45"/>
      <x:c r="L8" s="43"/>
      <x:c r="M8" s="43"/>
      <x:c r="N8" s="43"/>
      <x:c r="O8" s="43"/>
      <x:c r="P8" s="43"/>
      <x:c r="Q8" s="43"/>
      <x:c r="R8" s="43"/>
      <x:c r="S8" s="43"/>
      <x:c r="T8" s="43"/>
      <x:c r="U8" s="43"/>
      <x:c r="V8" s="43"/>
      <x:c r="W8" s="43"/>
      <x:c r="X8" s="43"/>
      <x:c r="Y8" s="43"/>
      <x:c r="Z8" s="43"/>
    </x:row>
    <x:row r="9">
      <x:c r="A9" s="45" t="str">
        <x:v>Empirical/deployment evidence (E)</x:v>
      </x:c>
      <x:c r="B9" s="45" t="n">
        <x:v>10</x:v>
      </x:c>
      <x:c r="C9" s="45" t="str">
        <x:v>20.8% of studies.</x:v>
      </x:c>
      <x:c r="D9" s="45" t="str">
        <x:v>DESCRIPTIVE</x:v>
      </x:c>
      <x:c r="E9" s="45"/>
      <x:c r="F9" s="45"/>
      <x:c r="G9" s="45"/>
      <x:c r="H9" s="45"/>
      <x:c r="I9" s="45"/>
      <x:c r="J9" s="45"/>
      <x:c r="K9" s="45"/>
      <x:c r="L9" s="43"/>
      <x:c r="M9" s="43"/>
      <x:c r="N9" s="43"/>
      <x:c r="O9" s="43"/>
      <x:c r="P9" s="43"/>
      <x:c r="Q9" s="43"/>
      <x:c r="R9" s="43"/>
      <x:c r="S9" s="43"/>
      <x:c r="T9" s="43"/>
      <x:c r="U9" s="43"/>
      <x:c r="V9" s="43"/>
      <x:c r="W9" s="43"/>
      <x:c r="X9" s="43"/>
      <x:c r="Y9" s="43"/>
      <x:c r="Z9" s="43"/>
    </x:row>
    <x:row r="10">
      <x:c r="A10" s="45" t="str">
        <x:v>Overall confidence High</x:v>
      </x:c>
      <x:c r="B10" s="45" t="n">
        <x:v>47</x:v>
      </x:c>
      <x:c r="C10" s="45" t="str">
        <x:v>97.9% of studies.</x:v>
      </x:c>
      <x:c r="D10" s="45" t="str">
        <x:v>QUALITY CHECK</x:v>
      </x:c>
      <x:c r="E10" s="45"/>
      <x:c r="F10" s="45"/>
      <x:c r="G10" s="45"/>
      <x:c r="H10" s="45"/>
      <x:c r="I10" s="45"/>
      <x:c r="J10" s="45"/>
      <x:c r="K10" s="45"/>
      <x:c r="L10" s="43"/>
      <x:c r="M10" s="43"/>
      <x:c r="N10" s="43"/>
      <x:c r="O10" s="43"/>
      <x:c r="P10" s="43"/>
      <x:c r="Q10" s="43"/>
      <x:c r="R10" s="43"/>
      <x:c r="S10" s="43"/>
      <x:c r="T10" s="43"/>
      <x:c r="U10" s="43"/>
      <x:c r="V10" s="43"/>
      <x:c r="W10" s="43"/>
      <x:c r="X10" s="43"/>
      <x:c r="Y10" s="43"/>
      <x:c r="Z10" s="43"/>
    </x:row>
    <x:row r="11">
      <x:c r="A11" s="45" t="str">
        <x:v>Overall confidence Medium</x:v>
      </x:c>
      <x:c r="B11" s="45" t="n">
        <x:v>1</x:v>
      </x:c>
      <x:c r="C11" s="45" t="str">
        <x:v>2.1% of studies.</x:v>
      </x:c>
      <x:c r="D11" s="45" t="str">
        <x:v>QUALITY CHECK</x:v>
      </x:c>
      <x:c r="E11" s="45"/>
      <x:c r="F11" s="45"/>
      <x:c r="G11" s="45"/>
      <x:c r="H11" s="45"/>
      <x:c r="I11" s="45"/>
      <x:c r="J11" s="45"/>
      <x:c r="K11" s="45"/>
      <x:c r="L11" s="43"/>
      <x:c r="M11" s="43"/>
      <x:c r="N11" s="43"/>
      <x:c r="O11" s="43"/>
      <x:c r="P11" s="43"/>
      <x:c r="Q11" s="43"/>
      <x:c r="R11" s="43"/>
      <x:c r="S11" s="43"/>
      <x:c r="T11" s="43"/>
      <x:c r="U11" s="43"/>
      <x:c r="V11" s="43"/>
      <x:c r="W11" s="43"/>
      <x:c r="X11" s="43"/>
      <x:c r="Y11" s="43"/>
      <x:c r="Z11" s="43"/>
    </x:row>
    <x:row r="12">
      <x:c r="A12" s="45"/>
      <x:c r="B12" s="45"/>
      <x:c r="C12" s="45"/>
      <x:c r="D12" s="45"/>
      <x:c r="E12" s="45"/>
      <x:c r="F12" s="45"/>
      <x:c r="G12" s="45"/>
      <x:c r="H12" s="45"/>
      <x:c r="I12" s="45"/>
      <x:c r="J12" s="45"/>
      <x:c r="K12" s="45"/>
      <x:c r="L12" s="43"/>
      <x:c r="M12" s="43"/>
      <x:c r="N12" s="43"/>
      <x:c r="O12" s="43"/>
      <x:c r="P12" s="43"/>
      <x:c r="Q12" s="43"/>
      <x:c r="R12" s="43"/>
      <x:c r="S12" s="43"/>
      <x:c r="T12" s="43"/>
      <x:c r="U12" s="43"/>
      <x:c r="V12" s="43"/>
      <x:c r="W12" s="43"/>
      <x:c r="X12" s="43"/>
      <x:c r="Y12" s="43"/>
      <x:c r="Z12" s="43"/>
    </x:row>
    <x:row r="13">
      <x:c r="A13" s="45"/>
      <x:c r="B13" s="45"/>
      <x:c r="C13" s="45"/>
      <x:c r="D13" s="45"/>
      <x:c r="E13" s="45"/>
      <x:c r="F13" s="45"/>
      <x:c r="G13" s="45"/>
      <x:c r="H13" s="45"/>
      <x:c r="I13" s="45"/>
      <x:c r="J13" s="45"/>
      <x:c r="K13" s="45"/>
      <x:c r="L13" s="43"/>
      <x:c r="M13" s="43"/>
      <x:c r="N13" s="43"/>
      <x:c r="O13" s="43"/>
      <x:c r="P13" s="43"/>
      <x:c r="Q13" s="43"/>
      <x:c r="R13" s="43"/>
      <x:c r="S13" s="43"/>
      <x:c r="T13" s="43"/>
      <x:c r="U13" s="43"/>
      <x:c r="V13" s="43"/>
      <x:c r="W13" s="43"/>
      <x:c r="X13" s="43"/>
      <x:c r="Y13" s="43"/>
      <x:c r="Z13" s="43"/>
    </x:row>
    <x:row r="14">
      <x:c r="A14" s="46" t="str">
        <x:v>Interface</x:v>
      </x:c>
      <x:c r="B14" s="46" t="str">
        <x:v>D</x:v>
      </x:c>
      <x:c r="C14" s="46" t="str">
        <x:v>P</x:v>
      </x:c>
      <x:c r="D14" s="46" t="str">
        <x:v>ND</x:v>
      </x:c>
      <x:c r="E14" s="46" t="str">
        <x:v>D rate</x:v>
      </x:c>
      <x:c r="F14" s="45"/>
      <x:c r="G14" s="46" t="str">
        <x:v>Corpus</x:v>
      </x:c>
      <x:c r="H14" s="46" t="str">
        <x:v>I12 D%</x:v>
      </x:c>
      <x:c r="I14" s="46" t="str">
        <x:v>I23 D%</x:v>
      </x:c>
      <x:c r="J14" s="46" t="str">
        <x:v>I3M D%</x:v>
      </x:c>
      <x:c r="K14" s="46" t="str">
        <x:v>IM1 D%</x:v>
      </x:c>
      <x:c r="L14" s="43"/>
      <x:c r="M14" s="43"/>
      <x:c r="N14" s="43"/>
      <x:c r="O14" s="43"/>
      <x:c r="P14" s="43"/>
      <x:c r="Q14" s="43"/>
      <x:c r="R14" s="43"/>
      <x:c r="S14" s="43"/>
      <x:c r="T14" s="43"/>
      <x:c r="U14" s="43"/>
      <x:c r="V14" s="43"/>
      <x:c r="W14" s="43"/>
      <x:c r="X14" s="43"/>
      <x:c r="Y14" s="43"/>
      <x:c r="Z14" s="43"/>
    </x:row>
    <x:row r="15">
      <x:c r="A15" s="45" t="str">
        <x:v>I12</x:v>
      </x:c>
      <x:c r="B15" s="45" t="n">
        <x:f>COUNTIF(Base_48_v1.3!$I$4:$I$51,"D")</x:f>
        <x:v>45</x:v>
      </x:c>
      <x:c r="C15" s="45" t="n">
        <x:f>COUNTIF(Base_48_v1.3!$I$4:$I$51,"P")</x:f>
        <x:v>3</x:v>
      </x:c>
      <x:c r="D15" s="45" t="n">
        <x:f>COUNTIF(Base_48_v1.3!$I$4:$I$51,"ND")</x:f>
        <x:v>0</x:v>
      </x:c>
      <x:c r="E15" s="47" t="n">
        <x:f>B15/48</x:f>
        <x:v>0.9375</x:v>
      </x:c>
      <x:c r="F15" s="45"/>
      <x:c r="G15" s="45" t="str">
        <x:v>S1</x:v>
      </x:c>
      <x:c r="H15" s="47" t="n">
        <x:f>Table_II_final_v1.3!C11</x:f>
        <x:v>0.896551724137931</x:v>
      </x:c>
      <x:c r="I15" s="47" t="n">
        <x:f>Table_II_final_v1.3!F11</x:f>
        <x:v>0.27586206896551724</x:v>
      </x:c>
      <x:c r="J15" s="47" t="n">
        <x:f>Table_II_final_v1.3!I11</x:f>
        <x:v>0.1724137931034483</x:v>
      </x:c>
      <x:c r="K15" s="47" t="n">
        <x:f>Table_II_final_v1.3!L11</x:f>
        <x:v>0</x:v>
      </x:c>
      <x:c r="L15" s="43"/>
      <x:c r="M15" s="43"/>
      <x:c r="N15" s="43"/>
      <x:c r="O15" s="43"/>
      <x:c r="P15" s="43"/>
      <x:c r="Q15" s="43"/>
      <x:c r="R15" s="43"/>
      <x:c r="S15" s="43"/>
      <x:c r="T15" s="43"/>
      <x:c r="U15" s="43"/>
      <x:c r="V15" s="43"/>
      <x:c r="W15" s="43"/>
      <x:c r="X15" s="43"/>
      <x:c r="Y15" s="43"/>
      <x:c r="Z15" s="43"/>
    </x:row>
    <x:row r="16">
      <x:c r="A16" s="45" t="str">
        <x:v>I23</x:v>
      </x:c>
      <x:c r="B16" s="45" t="n">
        <x:f>COUNTIF(Base_48_v1.3!$K$4:$K$51,"D")</x:f>
        <x:v>20</x:v>
      </x:c>
      <x:c r="C16" s="45" t="n">
        <x:f>COUNTIF(Base_48_v1.3!$K$4:$K$51,"P")</x:f>
        <x:v>9</x:v>
      </x:c>
      <x:c r="D16" s="45" t="n">
        <x:f>COUNTIF(Base_48_v1.3!$K$4:$K$51,"ND")</x:f>
        <x:v>19</x:v>
      </x:c>
      <x:c r="E16" s="47" t="n">
        <x:f>B16/48</x:f>
        <x:v>0.4166666666666667</x:v>
      </x:c>
      <x:c r="F16" s="45"/>
      <x:c r="G16" s="45" t="str">
        <x:v>S2</x:v>
      </x:c>
      <x:c r="H16" s="47" t="n">
        <x:f>Table_II_final_v1.3!C12</x:f>
        <x:v>1</x:v>
      </x:c>
      <x:c r="I16" s="47" t="n">
        <x:f>Table_II_final_v1.3!F12</x:f>
        <x:v>0.631578947368421</x:v>
      </x:c>
      <x:c r="J16" s="47" t="n">
        <x:f>Table_II_final_v1.3!I12</x:f>
        <x:v>0.3157894736842105</x:v>
      </x:c>
      <x:c r="K16" s="47" t="n">
        <x:f>Table_II_final_v1.3!L12</x:f>
        <x:v>0.10526315789473684</x:v>
      </x:c>
      <x:c r="L16" s="43"/>
      <x:c r="M16" s="43"/>
      <x:c r="N16" s="43"/>
      <x:c r="O16" s="43"/>
      <x:c r="P16" s="43"/>
      <x:c r="Q16" s="43"/>
      <x:c r="R16" s="43"/>
      <x:c r="S16" s="43"/>
      <x:c r="T16" s="43"/>
      <x:c r="U16" s="43"/>
      <x:c r="V16" s="43"/>
      <x:c r="W16" s="43"/>
      <x:c r="X16" s="43"/>
      <x:c r="Y16" s="43"/>
      <x:c r="Z16" s="43"/>
    </x:row>
    <x:row r="17">
      <x:c r="A17" s="45" t="str">
        <x:v>I3M</x:v>
      </x:c>
      <x:c r="B17" s="45" t="n">
        <x:f>COUNTIF(Base_48_v1.3!$M$4:$M$51,"D")</x:f>
        <x:v>11</x:v>
      </x:c>
      <x:c r="C17" s="45" t="n">
        <x:f>COUNTIF(Base_48_v1.3!$M$4:$M$51,"P")</x:f>
        <x:v>37</x:v>
      </x:c>
      <x:c r="D17" s="45" t="n">
        <x:f>COUNTIF(Base_48_v1.3!$M$4:$M$51,"ND")</x:f>
        <x:v>0</x:v>
      </x:c>
      <x:c r="E17" s="47" t="n">
        <x:f>B17/48</x:f>
        <x:v>0.22916666666666666</x:v>
      </x:c>
      <x:c r="F17" s="45"/>
      <x:c r="G17" s="45" t="str">
        <x:v>Integrated</x:v>
      </x:c>
      <x:c r="H17" s="47" t="n">
        <x:f>Table_II_final_v1.3!C13</x:f>
        <x:v>0.9375</x:v>
      </x:c>
      <x:c r="I17" s="47" t="n">
        <x:f>Table_II_final_v1.3!F13</x:f>
        <x:v>0.4166666666666667</x:v>
      </x:c>
      <x:c r="J17" s="47" t="n">
        <x:f>Table_II_final_v1.3!I13</x:f>
        <x:v>0.22916666666666666</x:v>
      </x:c>
      <x:c r="K17" s="47" t="n">
        <x:f>Table_II_final_v1.3!L13</x:f>
        <x:v>0.041666666666666664</x:v>
      </x:c>
      <x:c r="L17" s="43"/>
      <x:c r="M17" s="43"/>
      <x:c r="N17" s="43"/>
      <x:c r="O17" s="43"/>
      <x:c r="P17" s="43"/>
      <x:c r="Q17" s="43"/>
      <x:c r="R17" s="43"/>
      <x:c r="S17" s="43"/>
      <x:c r="T17" s="43"/>
      <x:c r="U17" s="43"/>
      <x:c r="V17" s="43"/>
      <x:c r="W17" s="43"/>
      <x:c r="X17" s="43"/>
      <x:c r="Y17" s="43"/>
      <x:c r="Z17" s="43"/>
    </x:row>
    <x:row r="18">
      <x:c r="A18" s="45" t="str">
        <x:v>IM1</x:v>
      </x:c>
      <x:c r="B18" s="45" t="n">
        <x:f>COUNTIF(Base_48_v1.3!$O$4:$O$51,"D")</x:f>
        <x:v>2</x:v>
      </x:c>
      <x:c r="C18" s="45" t="n">
        <x:f>COUNTIF(Base_48_v1.3!$O$4:$O$51,"P")</x:f>
        <x:v>8</x:v>
      </x:c>
      <x:c r="D18" s="45" t="n">
        <x:f>COUNTIF(Base_48_v1.3!$O$4:$O$51,"ND")</x:f>
        <x:v>38</x:v>
      </x:c>
      <x:c r="E18" s="47" t="n">
        <x:f>B18/48</x:f>
        <x:v>0.041666666666666664</x:v>
      </x:c>
      <x:c r="F18" s="45"/>
      <x:c r="G18" s="45"/>
      <x:c r="H18" s="45"/>
      <x:c r="I18" s="45"/>
      <x:c r="J18" s="45"/>
      <x:c r="K18" s="45"/>
      <x:c r="L18" s="43"/>
      <x:c r="M18" s="43"/>
      <x:c r="N18" s="43"/>
      <x:c r="O18" s="43"/>
      <x:c r="P18" s="43"/>
      <x:c r="Q18" s="43"/>
      <x:c r="R18" s="43"/>
      <x:c r="S18" s="43"/>
      <x:c r="T18" s="43"/>
      <x:c r="U18" s="43"/>
      <x:c r="V18" s="43"/>
      <x:c r="W18" s="43"/>
      <x:c r="X18" s="43"/>
      <x:c r="Y18" s="43"/>
      <x:c r="Z18" s="43"/>
    </x:row>
    <x:row r="19">
      <x:c r="A19" s="45"/>
      <x:c r="B19" s="45"/>
      <x:c r="C19" s="45"/>
      <x:c r="D19" s="45"/>
      <x:c r="E19" s="45"/>
      <x:c r="F19" s="45"/>
      <x:c r="G19" s="45"/>
      <x:c r="H19" s="45"/>
      <x:c r="I19" s="45"/>
      <x:c r="J19" s="45"/>
      <x:c r="K19" s="45"/>
      <x:c r="L19" s="43"/>
      <x:c r="M19" s="43"/>
      <x:c r="N19" s="43"/>
      <x:c r="O19" s="43"/>
      <x:c r="P19" s="43"/>
      <x:c r="Q19" s="43"/>
      <x:c r="R19" s="43"/>
      <x:c r="S19" s="43"/>
      <x:c r="T19" s="43"/>
      <x:c r="U19" s="43"/>
      <x:c r="V19" s="43"/>
      <x:c r="W19" s="43"/>
      <x:c r="X19" s="43"/>
      <x:c r="Y19" s="43"/>
      <x:c r="Z19" s="43"/>
    </x:row>
    <x:row r="20">
      <x:c r="A20" s="45"/>
      <x:c r="B20" s="45"/>
      <x:c r="C20" s="45"/>
      <x:c r="D20" s="45"/>
      <x:c r="E20" s="45"/>
      <x:c r="F20" s="45"/>
      <x:c r="G20" s="45"/>
      <x:c r="H20" s="45"/>
      <x:c r="I20" s="45"/>
      <x:c r="J20" s="45"/>
      <x:c r="K20" s="45"/>
      <x:c r="L20" s="43"/>
      <x:c r="M20" s="43"/>
      <x:c r="N20" s="43"/>
      <x:c r="O20" s="43"/>
      <x:c r="P20" s="43"/>
      <x:c r="Q20" s="43"/>
      <x:c r="R20" s="43"/>
      <x:c r="S20" s="43"/>
      <x:c r="T20" s="43"/>
      <x:c r="U20" s="43"/>
      <x:c r="V20" s="43"/>
      <x:c r="W20" s="43"/>
      <x:c r="X20" s="43"/>
      <x:c r="Y20" s="43"/>
      <x:c r="Z20" s="43"/>
    </x:row>
    <x:row r="21">
      <x:c r="A21" s="56" t="str">
        <x:v>Primary descriptive pattern: within the selected complementary corpora, condition→requirement traceability (I12) is the most consistently documented relation. I23 becomes substantially more selective under v1.3 because partial credit requires a bounded requirement/criterion→specific configured capability anchor. Complete support chains (I3M) and especially closed operational learning cycles (IM1) remain comparatively uncommon in the documentation. This pattern is descriptive and does not establish prevalence, necessity, sufficiency, causality, or empirical validation of A3M.</x:v>
      </x:c>
      <x:c r="B21" s="56"/>
      <x:c r="C21" s="56"/>
      <x:c r="D21" s="56"/>
      <x:c r="E21" s="56"/>
      <x:c r="F21" s="56"/>
      <x:c r="G21" s="56"/>
      <x:c r="H21" s="56"/>
      <x:c r="I21" s="56"/>
      <x:c r="J21" s="56"/>
      <x:c r="K21" s="56"/>
      <x:c r="L21" s="43"/>
      <x:c r="M21" s="43"/>
      <x:c r="N21" s="43"/>
      <x:c r="O21" s="43"/>
      <x:c r="P21" s="43"/>
      <x:c r="Q21" s="43"/>
      <x:c r="R21" s="43"/>
      <x:c r="S21" s="43"/>
      <x:c r="T21" s="43"/>
      <x:c r="U21" s="43"/>
      <x:c r="V21" s="43"/>
      <x:c r="W21" s="43"/>
      <x:c r="X21" s="43"/>
      <x:c r="Y21" s="43"/>
      <x:c r="Z21" s="43"/>
    </x:row>
    <x:row r="22">
      <x:c r="A22" s="56"/>
      <x:c r="B22" s="56"/>
      <x:c r="C22" s="56"/>
      <x:c r="D22" s="56"/>
      <x:c r="E22" s="56"/>
      <x:c r="F22" s="56"/>
      <x:c r="G22" s="56"/>
      <x:c r="H22" s="56"/>
      <x:c r="I22" s="56"/>
      <x:c r="J22" s="56"/>
      <x:c r="K22" s="56"/>
      <x:c r="L22" s="43"/>
      <x:c r="M22" s="43"/>
      <x:c r="N22" s="43"/>
      <x:c r="O22" s="43"/>
      <x:c r="P22" s="43"/>
      <x:c r="Q22" s="43"/>
      <x:c r="R22" s="43"/>
      <x:c r="S22" s="43"/>
      <x:c r="T22" s="43"/>
      <x:c r="U22" s="43"/>
      <x:c r="V22" s="43"/>
      <x:c r="W22" s="43"/>
      <x:c r="X22" s="43"/>
      <x:c r="Y22" s="43"/>
      <x:c r="Z22" s="43"/>
    </x:row>
    <x:row r="23">
      <x:c r="A23" s="56"/>
      <x:c r="B23" s="56"/>
      <x:c r="C23" s="56"/>
      <x:c r="D23" s="56"/>
      <x:c r="E23" s="56"/>
      <x:c r="F23" s="56"/>
      <x:c r="G23" s="56"/>
      <x:c r="H23" s="56"/>
      <x:c r="I23" s="56"/>
      <x:c r="J23" s="56"/>
      <x:c r="K23" s="56"/>
      <x:c r="L23" s="43"/>
      <x:c r="M23" s="43"/>
      <x:c r="N23" s="43"/>
      <x:c r="O23" s="43"/>
      <x:c r="P23" s="43"/>
      <x:c r="Q23" s="43"/>
      <x:c r="R23" s="43"/>
      <x:c r="S23" s="43"/>
      <x:c r="T23" s="43"/>
      <x:c r="U23" s="43"/>
      <x:c r="V23" s="43"/>
      <x:c r="W23" s="43"/>
      <x:c r="X23" s="43"/>
      <x:c r="Y23" s="43"/>
      <x:c r="Z23" s="43"/>
    </x:row>
    <x:row r="24">
      <x:c r="A24" s="45"/>
      <x:c r="B24" s="45"/>
      <x:c r="C24" s="45"/>
      <x:c r="D24" s="45"/>
      <x:c r="E24" s="45"/>
      <x:c r="F24" s="45"/>
      <x:c r="G24" s="45"/>
      <x:c r="H24" s="45"/>
      <x:c r="I24" s="45"/>
      <x:c r="J24" s="45"/>
      <x:c r="K24" s="45"/>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J1"/>
    <x:mergeCell ref="A21:K23"/>
  </x:mergeCells>
  <x:pageMargins left="0.7" right="0.7" top="0.75" bottom="0.75" header="0.3" footer="0.3"/>
  <x:drawing xmlns:r="http://schemas.openxmlformats.org/officeDocument/2006/relationships" r:id="Reec29a4f2d5a4611"/>
</x:worksheet>
</file>

<file path=xl/worksheets/sheet8.xml><?xml version="1.0" encoding="utf-8"?>
<x:worksheet xmlns:x="http://schemas.openxmlformats.org/spreadsheetml/2006/main">
  <x:sheetFormatPr defaultRowHeight="15"/>
  <x:cols>
    <x:col min="1" max="1" width="8" hidden="0" customWidth="1"/>
    <x:col min="2" max="2" width="48" hidden="0" customWidth="1"/>
    <x:col min="3" max="3" width="30" hidden="0" customWidth="1"/>
    <x:col min="4" max="4" width="45" hidden="0" customWidth="1"/>
    <x:col min="5" max="5" width="90" hidden="0" customWidth="1"/>
    <x:col min="6" max="6" width="65" hidden="0" customWidth="1"/>
    <x:col min="7" max="7" width="32" hidden="0" customWidth="1"/>
  </x:cols>
  <x:sheetData>
    <x:row r="1">
      <x:c r="A1" s="42" t="str">
        <x:v>A3M manuscript claims supported by the FINAL v1.3 synthesis</x:v>
      </x:c>
      <x:c r="B1" s="42"/>
      <x:c r="C1" s="42"/>
      <x:c r="D1" s="42"/>
      <x:c r="E1" s="42"/>
      <x:c r="F1" s="42"/>
      <x:c r="G1" s="42"/>
      <x:c r="H1" s="43"/>
      <x:c r="I1" s="43"/>
      <x:c r="J1" s="43"/>
      <x:c r="K1" s="43"/>
      <x:c r="L1" s="43"/>
      <x:c r="M1" s="43"/>
      <x:c r="N1" s="43"/>
      <x:c r="O1" s="43"/>
      <x:c r="P1" s="43"/>
      <x:c r="Q1" s="43"/>
      <x:c r="R1" s="43"/>
      <x:c r="S1" s="43"/>
      <x:c r="T1" s="43"/>
      <x:c r="U1" s="43"/>
      <x:c r="V1" s="43"/>
      <x:c r="W1" s="43"/>
      <x:c r="X1" s="43"/>
      <x:c r="Y1" s="43"/>
      <x:c r="Z1" s="43"/>
    </x:row>
    <x:row r="2">
      <x:c r="A2" s="44" t="str">
        <x:v>These statements are calibrated to the 48-study evidence base. Descriptive counts are not meta-analytic weights or literature-prevalence estimates.</x:v>
      </x:c>
      <x:c r="B2" s="44"/>
      <x:c r="C2" s="44"/>
      <x:c r="D2" s="44"/>
      <x:c r="E2" s="44"/>
      <x:c r="F2" s="44"/>
      <x:c r="G2" s="44"/>
      <x:c r="H2" s="43"/>
      <x:c r="I2" s="43"/>
      <x:c r="J2" s="43"/>
      <x:c r="K2" s="43"/>
      <x:c r="L2" s="43"/>
      <x:c r="M2" s="43"/>
      <x:c r="N2" s="43"/>
      <x:c r="O2" s="43"/>
      <x:c r="P2" s="43"/>
      <x:c r="Q2" s="43"/>
      <x:c r="R2" s="43"/>
      <x:c r="S2" s="43"/>
      <x:c r="T2" s="43"/>
      <x:c r="U2" s="43"/>
      <x:c r="V2" s="43"/>
      <x:c r="W2" s="43"/>
      <x:c r="X2" s="43"/>
      <x:c r="Y2" s="43"/>
      <x:c r="Z2" s="43"/>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row>
    <x:row r="4">
      <x:c r="A4" s="46" t="str">
        <x:v>ID</x:v>
      </x:c>
      <x:c r="B4" s="46" t="str">
        <x:v>Claim</x:v>
      </x:c>
      <x:c r="C4" s="46" t="str">
        <x:v>Evidence status</x:v>
      </x:c>
      <x:c r="D4" s="46" t="str">
        <x:v>Quantitative support</x:v>
      </x:c>
      <x:c r="E4" s="46" t="str">
        <x:v>Recommended wording</x:v>
      </x:c>
      <x:c r="F4" s="46" t="str">
        <x:v>Avoid saying</x:v>
      </x:c>
      <x:c r="G4" s="46" t="str">
        <x:v>Paper location</x:v>
      </x:c>
      <x:c r="H4" s="43"/>
      <x:c r="I4" s="43"/>
      <x:c r="J4" s="43"/>
      <x:c r="K4" s="43"/>
      <x:c r="L4" s="43"/>
      <x:c r="M4" s="43"/>
      <x:c r="N4" s="43"/>
      <x:c r="O4" s="43"/>
      <x:c r="P4" s="43"/>
      <x:c r="Q4" s="43"/>
      <x:c r="R4" s="43"/>
      <x:c r="S4" s="43"/>
      <x:c r="T4" s="43"/>
      <x:c r="U4" s="43"/>
      <x:c r="V4" s="43"/>
      <x:c r="W4" s="43"/>
      <x:c r="X4" s="43"/>
      <x:c r="Y4" s="43"/>
      <x:c r="Z4" s="43"/>
    </x:row>
    <x:row r="5">
      <x:c r="A5" s="45" t="str">
        <x:v>C1</x:v>
      </x:c>
      <x:c r="B5" s="45" t="str">
        <x:v>Technical demonstration, adoption or technology availability does not by itself establish sustained operational integration.</x:v>
      </x:c>
      <x:c r="C5" s="45" t="str">
        <x:v>Strong conceptual + empirical support</x:v>
      </x:c>
      <x:c r="D5" s="45" t="str">
        <x:v>I12=45/48 D; I23=20/48 D; I3M=11/48 D; IM1=2/48 D.</x:v>
      </x:c>
      <x:c r="E5" s="45" t="str">
        <x:v>Within the selected corpora, publications documented context-to-requirement relations much more consistently than complete support and operational-learning chains; therefore technical demonstration or adoption should not be treated as equivalent to sustained integration.</x:v>
      </x:c>
      <x:c r="F5" s="45" t="str">
        <x:v>Do not claim A3M proves that adoption cannot lead to sustained integration.</x:v>
      </x:c>
      <x:c r="G5" s="45" t="str">
        <x:v>Introduction / Discussion</x:v>
      </x:c>
      <x:c r="H5" s="43"/>
      <x:c r="I5" s="43"/>
      <x:c r="J5" s="43"/>
      <x:c r="K5" s="43"/>
      <x:c r="L5" s="43"/>
      <x:c r="M5" s="43"/>
      <x:c r="N5" s="43"/>
      <x:c r="O5" s="43"/>
      <x:c r="P5" s="43"/>
      <x:c r="Q5" s="43"/>
      <x:c r="R5" s="43"/>
      <x:c r="S5" s="43"/>
      <x:c r="T5" s="43"/>
      <x:c r="U5" s="43"/>
      <x:c r="V5" s="43"/>
      <x:c r="W5" s="43"/>
      <x:c r="X5" s="43"/>
      <x:c r="Y5" s="43"/>
      <x:c r="Z5" s="43"/>
    </x:row>
    <x:row r="6">
      <x:c r="A6" s="45" t="str">
        <x:v>C2</x:v>
      </x:c>
      <x:c r="B6" s="45" t="str">
        <x:v>Critical context conditions should be translated into explicit requirements, restrictions or test conditions (I12).</x:v>
      </x:c>
      <x:c r="C6" s="45" t="str">
        <x:v>Very strong descriptive support</x:v>
      </x:c>
      <x:c r="D6" s="45" t="str">
        <x:v>45 D / 3 P / 0 ND integrated; S1=26/29 D; S2=19/19 D.</x:v>
      </x:c>
      <x:c r="E6" s="45" t="str">
        <x:v>Condition-to-requirement traceability was the most consistently documented interface in the selected corpora.</x:v>
      </x:c>
      <x:c r="F6" s="45" t="str">
        <x:v>Do not report 93.8% as prevalence in the whole literature.</x:v>
      </x:c>
      <x:c r="G6" s="45" t="str">
        <x:v>Results / Framework derivation</x:v>
      </x:c>
      <x:c r="H6" s="43"/>
      <x:c r="I6" s="43"/>
      <x:c r="J6" s="43"/>
      <x:c r="K6" s="43"/>
      <x:c r="L6" s="43"/>
      <x:c r="M6" s="43"/>
      <x:c r="N6" s="43"/>
      <x:c r="O6" s="43"/>
      <x:c r="P6" s="43"/>
      <x:c r="Q6" s="43"/>
      <x:c r="R6" s="43"/>
      <x:c r="S6" s="43"/>
      <x:c r="T6" s="43"/>
      <x:c r="U6" s="43"/>
      <x:c r="V6" s="43"/>
      <x:c r="W6" s="43"/>
      <x:c r="X6" s="43"/>
      <x:c r="Y6" s="43"/>
      <x:c r="Z6" s="43"/>
    </x:row>
    <x:row r="7">
      <x:c r="A7" s="45" t="str">
        <x:v>C3</x:v>
      </x:c>
      <x:c r="B7" s="45" t="str">
        <x:v>I23 requires a bounded requirement/criterion→specific configured capability anchor before partial or direct documentation can be claimed.</x:v>
      </x:c>
      <x:c r="C7" s="45" t="str">
        <x:v>Strong boundary evidence after v1.3</x:v>
      </x:c>
      <x:c r="D7" s="45" t="str">
        <x:v>20 D / 9 P / 19 ND. Relative to v1.1: 19 P→ND, 5 P→D, 1 D→P.</x:v>
      </x:c>
      <x:c r="E7" s="45" t="str">
        <x:v>Under the final boundary, generic need↔technology-class mappings were insufficient; P required a bounded application requirement or criterion linked to a specific configured capability, while D additionally required corresponding evaluation and result.</x:v>
      </x:c>
      <x:c r="F7" s="45" t="str">
        <x:v>Do not imply that I23-ND studies lacked technology or evaluation altogether.</x:v>
      </x:c>
      <x:c r="G7" s="45" t="str">
        <x:v>Methods / Results / Diagnostic procedure</x:v>
      </x:c>
      <x:c r="H7" s="43"/>
      <x:c r="I7" s="43"/>
      <x:c r="J7" s="43"/>
      <x:c r="K7" s="43"/>
      <x:c r="L7" s="43"/>
      <x:c r="M7" s="43"/>
      <x:c r="N7" s="43"/>
      <x:c r="O7" s="43"/>
      <x:c r="P7" s="43"/>
      <x:c r="Q7" s="43"/>
      <x:c r="R7" s="43"/>
      <x:c r="S7" s="43"/>
      <x:c r="T7" s="43"/>
      <x:c r="U7" s="43"/>
      <x:c r="V7" s="43"/>
      <x:c r="W7" s="43"/>
      <x:c r="X7" s="43"/>
      <x:c r="Y7" s="43"/>
      <x:c r="Z7" s="43"/>
    </x:row>
    <x:row r="8">
      <x:c r="A8" s="45" t="str">
        <x:v>C4</x:v>
      </x:c>
      <x:c r="B8" s="45" t="str">
        <x:v>Operational dependencies require identifiable support, responsibility and continuity/recovery arrangements (I3M).</x:v>
      </x:c>
      <x:c r="C8" s="45" t="str">
        <x:v>Strong support for the diagnostic distinction</x:v>
      </x:c>
      <x:c r="D8" s="45" t="str">
        <x:v>11 D / 37 P / 0 ND integrated.</x:v>
      </x:c>
      <x:c r="E8" s="45" t="str">
        <x:v>Most sources documented dependencies and support resources, but relatively few closed the full dependency→support→responsibility→continuity chain.</x:v>
      </x:c>
      <x:c r="F8" s="45" t="str">
        <x:v>Do not equate training, infrastructure or maintenance mentions alone with complete I3M.</x:v>
      </x:c>
      <x:c r="G8" s="45" t="str">
        <x:v>Results / Discussion</x:v>
      </x:c>
      <x:c r="H8" s="43"/>
      <x:c r="I8" s="43"/>
      <x:c r="J8" s="43"/>
      <x:c r="K8" s="43"/>
      <x:c r="L8" s="43"/>
      <x:c r="M8" s="43"/>
      <x:c r="N8" s="43"/>
      <x:c r="O8" s="43"/>
      <x:c r="P8" s="43"/>
      <x:c r="Q8" s="43"/>
      <x:c r="R8" s="43"/>
      <x:c r="S8" s="43"/>
      <x:c r="T8" s="43"/>
      <x:c r="U8" s="43"/>
      <x:c r="V8" s="43"/>
      <x:c r="W8" s="43"/>
      <x:c r="X8" s="43"/>
      <x:c r="Y8" s="43"/>
      <x:c r="Z8" s="43"/>
    </x:row>
    <x:row r="9">
      <x:c r="A9" s="45" t="str">
        <x:v>C5</x:v>
      </x:c>
      <x:c r="B9" s="45" t="str">
        <x:v>Closed operational learning cycles are rarely documented (IM1).</x:v>
      </x:c>
      <x:c r="C9" s="45" t="str">
        <x:v>Very strong evidence-gap statement</x:v>
      </x:c>
      <x:c r="D9" s="45" t="str">
        <x:v>2 D / 8 P / 38 ND integrated. The two D cases are S2-026 and S2-029.</x:v>
      </x:c>
      <x:c r="E9" s="45" t="str">
        <x:v>Only two publications documented a complete experience→diagnosis→implemented change→subsequent verification cycle at the final traceability threshold.</x:v>
      </x:c>
      <x:c r="F9" s="45" t="str">
        <x:v>Do not say only two systems learned, or that 38 systems did not learn.</x:v>
      </x:c>
      <x:c r="G9" s="45" t="str">
        <x:v>Results / Discussion / Contribution</x:v>
      </x:c>
      <x:c r="H9" s="43"/>
      <x:c r="I9" s="43"/>
      <x:c r="J9" s="43"/>
      <x:c r="K9" s="43"/>
      <x:c r="L9" s="43"/>
      <x:c r="M9" s="43"/>
      <x:c r="N9" s="43"/>
      <x:c r="O9" s="43"/>
      <x:c r="P9" s="43"/>
      <x:c r="Q9" s="43"/>
      <x:c r="R9" s="43"/>
      <x:c r="S9" s="43"/>
      <x:c r="T9" s="43"/>
      <x:c r="U9" s="43"/>
      <x:c r="V9" s="43"/>
      <x:c r="W9" s="43"/>
      <x:c r="X9" s="43"/>
      <x:c r="Y9" s="43"/>
      <x:c r="Z9" s="43"/>
    </x:row>
    <x:row r="10">
      <x:c r="A10" s="45" t="str">
        <x:v>C6</x:v>
      </x:c>
      <x:c r="B10" s="45" t="str">
        <x:v>The v1.3 refinement changed interface interpretation rather than uniformly pushing codes upward or downward.</x:v>
      </x:c>
      <x:c r="C10" s="45" t="str">
        <x:v>Strong calibration/process support</x:v>
      </x:c>
      <x:c r="D10" s="45" t="str">
        <x:v>35/192 decisions changed from v1.1: I23=25, IM1=10; I12/I3M=0. I23 included both upward and downward transitions; IM1 had 5 P→ND and 5 ND→P.</x:v>
      </x:c>
      <x:c r="E10" s="45" t="str">
        <x:v>The final rule refinement was interface-specific and bidirectional, suggesting that it clarified evidence boundaries rather than optimizing the corpus toward a preferred distribution.</x:v>
      </x:c>
      <x:c r="F10" s="45" t="str">
        <x:v>Do not present codebook refinement as external empirical validation.</x:v>
      </x:c>
      <x:c r="G10" s="45" t="str">
        <x:v>Methods / Limitations</x:v>
      </x:c>
      <x:c r="H10" s="43"/>
      <x:c r="I10" s="43"/>
      <x:c r="J10" s="43"/>
      <x:c r="K10" s="43"/>
      <x:c r="L10" s="43"/>
      <x:c r="M10" s="43"/>
      <x:c r="N10" s="43"/>
      <x:c r="O10" s="43"/>
      <x:c r="P10" s="43"/>
      <x:c r="Q10" s="43"/>
      <x:c r="R10" s="43"/>
      <x:c r="S10" s="43"/>
      <x:c r="T10" s="43"/>
      <x:c r="U10" s="43"/>
      <x:c r="V10" s="43"/>
      <x:c r="W10" s="43"/>
      <x:c r="X10" s="43"/>
      <x:c r="Y10" s="43"/>
      <x:c r="Z10" s="43"/>
    </x:row>
    <x:row r="11">
      <x:c r="A11" s="45" t="str">
        <x:v>C7</x:v>
      </x:c>
      <x:c r="B11" s="45" t="str">
        <x:v>A global maturity/readiness score can obscure which relation remains unsupported.</x:v>
      </x:c>
      <x:c r="C11" s="45" t="str">
        <x:v>Interpretive synthesis</x:v>
      </x:c>
      <x:c r="D11" s="45" t="str">
        <x:v>Final D rates: I12 93.8%; I23 41.7%; I3M 22.9%; IM1 4.2%.</x:v>
      </x:c>
      <x:c r="E11" s="45" t="str">
        <x:v>A3M retains interface-level states because documentation completeness can differ sharply across context translation, technical correspondence, supportability and learning.</x:v>
      </x:c>
      <x:c r="F11" s="45" t="str">
        <x:v>Do not claim all maturity models are invalid or inferior.</x:v>
      </x:c>
      <x:c r="G11" s="45" t="str">
        <x:v>Framework comparison / Discussion</x:v>
      </x:c>
      <x:c r="H11" s="43"/>
      <x:c r="I11" s="43"/>
      <x:c r="J11" s="43"/>
      <x:c r="K11" s="43"/>
      <x:c r="L11" s="43"/>
      <x:c r="M11" s="43"/>
      <x:c r="N11" s="43"/>
      <x:c r="O11" s="43"/>
      <x:c r="P11" s="43"/>
      <x:c r="Q11" s="43"/>
      <x:c r="R11" s="43"/>
      <x:c r="S11" s="43"/>
      <x:c r="T11" s="43"/>
      <x:c r="U11" s="43"/>
      <x:c r="V11" s="43"/>
      <x:c r="W11" s="43"/>
      <x:c r="X11" s="43"/>
      <x:c r="Y11" s="43"/>
      <x:c r="Z11" s="43"/>
    </x:row>
    <x:row r="12">
      <x:c r="A12" s="45" t="str">
        <x:v>C8</x:v>
      </x:c>
      <x:c r="B12" s="45" t="str">
        <x:v>The 48-study counts are descriptive of two complementary structured searches, not prevalence estimates.</x:v>
      </x:c>
      <x:c r="C12" s="45" t="str">
        <x:v>Mandatory interpretive guardrail</x:v>
      </x:c>
      <x:c r="D12" s="45" t="str">
        <x:v>29 S1 + 19 S2; 48 unique studies; 192 interface decisions.</x:v>
      </x:c>
      <x:c r="E12" s="45" t="str">
        <x:v>Counts summarize the selected evidence-development corpora and should be interpreted as documentation patterns under the frozen Codebook.</x:v>
      </x:c>
      <x:c r="F12" s="45" t="str">
        <x:v>Do not merge S1 and S2 into a single PRISMA denominator or generalize percentages to all agricultural automation literature.</x:v>
      </x:c>
      <x:c r="G12" s="45" t="str">
        <x:v>Methods / Limitations</x:v>
      </x:c>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G1"/>
    <x:mergeCell ref="A2:G2"/>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2" hidden="0" customWidth="1"/>
    <x:col min="3" max="3" width="120" hidden="0" customWidth="1"/>
    <x:col min="4" max="4" width="35" hidden="0" customWidth="1"/>
    <x:col min="5" max="5" width="38" hidden="0" customWidth="1"/>
    <x:col min="6" max="6" width="65" hidden="0" customWidth="1"/>
  </x:cols>
  <x:sheetData>
    <x:row r="1">
      <x:c r="A1" s="42" t="str">
        <x:v>Paper-ready results and methods wording — FINAL v1.3</x:v>
      </x:c>
      <x:c r="B1" s="42"/>
      <x:c r="C1" s="42"/>
      <x:c r="D1" s="42"/>
      <x:c r="E1" s="42"/>
      <x:c r="F1" s="42"/>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46" t="str">
        <x:v>Section</x:v>
      </x:c>
      <x:c r="B3" s="46" t="str">
        <x:v>Language</x:v>
      </x:c>
      <x:c r="C3" s="46" t="str">
        <x:v>Text</x:v>
      </x:c>
      <x:c r="D3" s="46" t="str">
        <x:v>Use</x:v>
      </x:c>
      <x:c r="E3" s="46" t="str">
        <x:v>Numbers checked</x:v>
      </x:c>
      <x:c r="F3" s="46" t="str">
        <x:v>Caution</x:v>
      </x:c>
      <x:c r="G3" s="43"/>
      <x:c r="H3" s="43"/>
      <x:c r="I3" s="43"/>
      <x:c r="J3" s="43"/>
      <x:c r="K3" s="43"/>
      <x:c r="L3" s="43"/>
      <x:c r="M3" s="43"/>
      <x:c r="N3" s="43"/>
      <x:c r="O3" s="43"/>
      <x:c r="P3" s="43"/>
      <x:c r="Q3" s="43"/>
      <x:c r="R3" s="43"/>
      <x:c r="S3" s="43"/>
      <x:c r="T3" s="43"/>
      <x:c r="U3" s="43"/>
      <x:c r="V3" s="43"/>
      <x:c r="W3" s="43"/>
      <x:c r="X3" s="43"/>
      <x:c r="Y3" s="43"/>
      <x:c r="Z3" s="43"/>
    </x:row>
    <x:row r="4">
      <x:c r="A4" s="45" t="str">
        <x:v>Results — integrated synthesis</x:v>
      </x:c>
      <x:c r="B4" s="45" t="str">
        <x:v>Spanish</x:v>
      </x:c>
      <x:c r="C4" s="45" t="str">
        <x:v>Tras congelar el Codebook v1.3, se recodificaron los 48 estudios incluidos (29 en S1 y 19 en S2), generando 192 decisiones de interfaz. La distribución integrada final fue: I12, 45 D, 3 P y 0 ND; I23, 20 D, 9 P y 19 ND; I3M, 11 D, 37 P y 0 ND; e IM1, 2 D, 8 P y 38 ND. Dentro de los corpus seleccionados, la trazabilidad condición→requisito fue la relación más consistentemente documentada, mientras que las cadenas completas de soporte operacional y, especialmente, de aprendizaje cerrado fueron mucho menos frecuentes en la documentación.</x:v>
      </x:c>
      <x:c r="D4" s="45" t="str">
        <x:v>Main results paragraph</x:v>
      </x:c>
      <x:c r="E4" s="45" t="str">
        <x:v>48; 192; 45/3/0; 20/9/19; 11/37/0; 2/8/38</x:v>
      </x:c>
      <x:c r="F4" s="45" t="str">
        <x:v>State that counts describe selected corpora and documentation completeness.</x:v>
      </x:c>
      <x:c r="G4" s="43"/>
      <x:c r="H4" s="43"/>
      <x:c r="I4" s="43"/>
      <x:c r="J4" s="43"/>
      <x:c r="K4" s="43"/>
      <x:c r="L4" s="43"/>
      <x:c r="M4" s="43"/>
      <x:c r="N4" s="43"/>
      <x:c r="O4" s="43"/>
      <x:c r="P4" s="43"/>
      <x:c r="Q4" s="43"/>
      <x:c r="R4" s="43"/>
      <x:c r="S4" s="43"/>
      <x:c r="T4" s="43"/>
      <x:c r="U4" s="43"/>
      <x:c r="V4" s="43"/>
      <x:c r="W4" s="43"/>
      <x:c r="X4" s="43"/>
      <x:c r="Y4" s="43"/>
      <x:c r="Z4" s="43"/>
    </x:row>
    <x:row r="5">
      <x:c r="A5" s="45" t="str">
        <x:v>Results — integrated synthesis</x:v>
      </x:c>
      <x:c r="B5" s="45" t="str">
        <x:v>English</x:v>
      </x:c>
      <x:c r="C5" s="45" t="str">
        <x:v>After freezing Codebook v1.3, all 48 included studies (29 in S1 and 19 in S2) were recoded, yielding 192 interface decisions. The final integrated distribution was: I12, 45 D, 3 P, and 0 ND; I23, 20 D, 9 P, and 19 ND; I3M, 11 D, 37 P, and 0 ND; and IM1, 2 D, 8 P, and 38 ND. Within the selected corpora, condition-to-requirement traceability was the most consistently documented relation, whereas complete operational-support chains and, especially, closed learning cycles were much less frequently documented.</x:v>
      </x:c>
      <x:c r="D5" s="45" t="str">
        <x:v>Conference/journal English version</x:v>
      </x:c>
      <x:c r="E5" s="45" t="str">
        <x:v>48; 192; 45/3/0; 20/9/19; 11/37/0; 2/8/38</x:v>
      </x:c>
      <x:c r="F5" s="45" t="str">
        <x:v>Use 'within the selected corpora' and 'documentation completeness'.</x:v>
      </x:c>
      <x:c r="G5" s="43"/>
      <x:c r="H5" s="43"/>
      <x:c r="I5" s="43"/>
      <x:c r="J5" s="43"/>
      <x:c r="K5" s="43"/>
      <x:c r="L5" s="43"/>
      <x:c r="M5" s="43"/>
      <x:c r="N5" s="43"/>
      <x:c r="O5" s="43"/>
      <x:c r="P5" s="43"/>
      <x:c r="Q5" s="43"/>
      <x:c r="R5" s="43"/>
      <x:c r="S5" s="43"/>
      <x:c r="T5" s="43"/>
      <x:c r="U5" s="43"/>
      <x:c r="V5" s="43"/>
      <x:c r="W5" s="43"/>
      <x:c r="X5" s="43"/>
      <x:c r="Y5" s="43"/>
      <x:c r="Z5" s="43"/>
    </x:row>
    <x:row r="6">
      <x:c r="A6" s="45" t="str">
        <x:v>Methods — final Codebook refinement</x:v>
      </x:c>
      <x:c r="B6" s="45" t="str">
        <x:v>Spanish</x:v>
      </x:c>
      <x:c r="C6" s="45" t="str">
        <x:v>La versión final v1.3 se obtuvo mediante aclaraciones mínimas y localizadas de frontera. La v1.2 precisó IM1 al exigir, para P, al menos un evento o experiencia operacional delimitada vinculada a un diagnóstico o interpretación causal. Posteriormente, los desacuerdos residuales de AUD4 se concentraron en I23, por lo que v1.3 exigió para P un ancla delimitada requisito/criterio de aplicación→capacidad configurada específica. Las reglas de I12 e I3M no se modificaron. La v1.3 se congeló antes de la recodificación final de los 48 estudios.</x:v>
      </x:c>
      <x:c r="D6" s="45" t="str">
        <x:v>Methods/codebook paragraph</x:v>
      </x:c>
      <x:c r="E6" s="45" t="str">
        <x:v>v1.2 IM1; v1.3 I23; I12/I3M unchanged</x:v>
      </x:c>
      <x:c r="F6" s="45" t="str">
        <x:v>Do not imply v1.3 itself has a new 48-decision κ estimate.</x:v>
      </x:c>
      <x:c r="G6" s="43"/>
      <x:c r="H6" s="43"/>
      <x:c r="I6" s="43"/>
      <x:c r="J6" s="43"/>
      <x:c r="K6" s="43"/>
      <x:c r="L6" s="43"/>
      <x:c r="M6" s="43"/>
      <x:c r="N6" s="43"/>
      <x:c r="O6" s="43"/>
      <x:c r="P6" s="43"/>
      <x:c r="Q6" s="43"/>
      <x:c r="R6" s="43"/>
      <x:c r="S6" s="43"/>
      <x:c r="T6" s="43"/>
      <x:c r="U6" s="43"/>
      <x:c r="V6" s="43"/>
      <x:c r="W6" s="43"/>
      <x:c r="X6" s="43"/>
      <x:c r="Y6" s="43"/>
      <x:c r="Z6" s="43"/>
    </x:row>
    <x:row r="7">
      <x:c r="A7" s="45" t="str">
        <x:v>Methods — reliability history</x:v>
      </x:c>
      <x:c r="B7" s="45" t="str">
        <x:v>English</x:v>
      </x:c>
      <x:c r="C7" s="45" t="str">
        <x:v>Post-calibration blind testing under v1.1 yielded 83.3% overall agreement (40/48; Cohen's κ=0.730) in AUD3, but IM1 failed the pre-specified per-interface agreement criterion. After a minimal IM1 clarification, AUD4 under v1.2 yielded 87.5% overall agreement (42/48; κ=0.811), with I23 remaining below the pre-specified interface threshold. Those residual I23 disagreements motivated a minimal v1.3 boundary clarification, which was then challenged on the six disagreement cases by a third reviewer before the 48-study final recoding. The targeted third-reviewer exercise was used as a boundary-consistency check rather than as an additional reliability sample.</x:v>
      </x:c>
      <x:c r="D7" s="45" t="str">
        <x:v>Methods/reproducibility paragraph</x:v>
      </x:c>
      <x:c r="E7" s="45" t="str">
        <x:v>AUD3 40/48 κ=.730; AUD4 42/48 κ=.811</x:v>
      </x:c>
      <x:c r="F7" s="45" t="str">
        <x:v>κ=.811 belongs to AUD4/v1.2, not v1.3.</x:v>
      </x:c>
      <x:c r="G7" s="43"/>
      <x:c r="H7" s="43"/>
      <x:c r="I7" s="43"/>
      <x:c r="J7" s="43"/>
      <x:c r="K7" s="43"/>
      <x:c r="L7" s="43"/>
      <x:c r="M7" s="43"/>
      <x:c r="N7" s="43"/>
      <x:c r="O7" s="43"/>
      <x:c r="P7" s="43"/>
      <x:c r="Q7" s="43"/>
      <x:c r="R7" s="43"/>
      <x:c r="S7" s="43"/>
      <x:c r="T7" s="43"/>
      <x:c r="U7" s="43"/>
      <x:c r="V7" s="43"/>
      <x:c r="W7" s="43"/>
      <x:c r="X7" s="43"/>
      <x:c r="Y7" s="43"/>
      <x:c r="Z7" s="43"/>
    </x:row>
    <x:row r="8">
      <x:c r="A8" s="45" t="str">
        <x:v>Results — v1.1 to v1.3 impact</x:v>
      </x:c>
      <x:c r="B8" s="45" t="str">
        <x:v>Spanish</x:v>
      </x:c>
      <x:c r="C8" s="45" t="str">
        <x:v>La aplicación de las reglas finales modificó 35 de 192 decisiones respecto a v1.1 (18.2%). Los cambios se concentraron exclusivamente en I23 (25 decisiones) e IM1 (10), mientras que I12 e I3M permanecieron sin cambios. En I23 hubo 19 transiciones P→ND, 5 P→D y 1 D→P. En IM1, 5 casos pasaron de P→ND y 5 de ND→P, por lo que su distribución agregada permaneció en 2 D, 8 P y 38 ND.</x:v>
      </x:c>
      <x:c r="D8" s="45" t="str">
        <x:v>Calibration-impact paragraph</x:v>
      </x:c>
      <x:c r="E8" s="45" t="str">
        <x:v>35/192=18.2%; I23=25; IM1=10</x:v>
      </x:c>
      <x:c r="F8" s="45" t="str">
        <x:v>Frame as rule-boundary impact, not improved 'accuracy' without an external gold standard.</x:v>
      </x:c>
      <x:c r="G8" s="43"/>
      <x:c r="H8" s="43"/>
      <x:c r="I8" s="43"/>
      <x:c r="J8" s="43"/>
      <x:c r="K8" s="43"/>
      <x:c r="L8" s="43"/>
      <x:c r="M8" s="43"/>
      <x:c r="N8" s="43"/>
      <x:c r="O8" s="43"/>
      <x:c r="P8" s="43"/>
      <x:c r="Q8" s="43"/>
      <x:c r="R8" s="43"/>
      <x:c r="S8" s="43"/>
      <x:c r="T8" s="43"/>
      <x:c r="U8" s="43"/>
      <x:c r="V8" s="43"/>
      <x:c r="W8" s="43"/>
      <x:c r="X8" s="43"/>
      <x:c r="Y8" s="43"/>
      <x:c r="Z8" s="43"/>
    </x:row>
    <x:row r="9">
      <x:c r="A9" s="45" t="str">
        <x:v>Discussion — I23</x:v>
      </x:c>
      <x:c r="B9" s="45" t="str">
        <x:v>English</x:v>
      </x:c>
      <x:c r="C9" s="45" t="str">
        <x:v>The final I23 boundary was deliberately selective. Nineteen publications were coded ND because they discussed technology classes, adoption factors, maturity dimensions, or system-level capabilities without reconstructing a bounded application requirement or acceptance criterion linked to a specific configured capability. Nine studies met this minimum anchor but lacked a complete corresponding evaluation/result chain, whereas 20 documented the full bounded chain required for D.</x:v>
      </x:c>
      <x:c r="D9" s="45" t="str">
        <x:v>I23 discussion paragraph</x:v>
      </x:c>
      <x:c r="E9" s="45" t="str">
        <x:v>20 D / 9 P / 19 ND</x:v>
      </x:c>
      <x:c r="F9" s="45" t="str">
        <x:v>ND means insufficient traceability under I23, not absence of technology or evaluation.</x:v>
      </x:c>
      <x:c r="G9" s="43"/>
      <x:c r="H9" s="43"/>
      <x:c r="I9" s="43"/>
      <x:c r="J9" s="43"/>
      <x:c r="K9" s="43"/>
      <x:c r="L9" s="43"/>
      <x:c r="M9" s="43"/>
      <x:c r="N9" s="43"/>
      <x:c r="O9" s="43"/>
      <x:c r="P9" s="43"/>
      <x:c r="Q9" s="43"/>
      <x:c r="R9" s="43"/>
      <x:c r="S9" s="43"/>
      <x:c r="T9" s="43"/>
      <x:c r="U9" s="43"/>
      <x:c r="V9" s="43"/>
      <x:c r="W9" s="43"/>
      <x:c r="X9" s="43"/>
      <x:c r="Y9" s="43"/>
      <x:c r="Z9" s="43"/>
    </x:row>
    <x:row r="10">
      <x:c r="A10" s="45" t="str">
        <x:v>Discussion — IM1</x:v>
      </x:c>
      <x:c r="B10" s="45" t="str">
        <x:v>Spanish</x:v>
      </x:c>
      <x:c r="C10" s="45" t="str">
        <x:v>IM1 fue la interfaz menos documentada: 2 de 48 publicaciones alcanzaron D, 8 fueron P y 38 ND. Este resultado debe interpretarse como una brecha de documentación, no como evidencia de ausencia de aprendizaje. El código ND indica que la publicación no permitió reconstruir al menos el ancla operacional evento/experiencia→diagnóstico, mientras que D exigió además un cambio implementado atribuible a ese diagnóstico y una verificación o nueva prueba posterior.</x:v>
      </x:c>
      <x:c r="D10" s="45" t="str">
        <x:v>Evidence-gap paragraph</x:v>
      </x:c>
      <x:c r="E10" s="45" t="str">
        <x:v>2 D / 8 P / 38 ND</x:v>
      </x:c>
      <x:c r="F10" s="45" t="str">
        <x:v>Do not say '38 systems did not learn'.</x:v>
      </x:c>
      <x:c r="G10" s="43"/>
      <x:c r="H10" s="43"/>
      <x:c r="I10" s="43"/>
      <x:c r="J10" s="43"/>
      <x:c r="K10" s="43"/>
      <x:c r="L10" s="43"/>
      <x:c r="M10" s="43"/>
      <x:c r="N10" s="43"/>
      <x:c r="O10" s="43"/>
      <x:c r="P10" s="43"/>
      <x:c r="Q10" s="43"/>
      <x:c r="R10" s="43"/>
      <x:c r="S10" s="43"/>
      <x:c r="T10" s="43"/>
      <x:c r="U10" s="43"/>
      <x:c r="V10" s="43"/>
      <x:c r="W10" s="43"/>
      <x:c r="X10" s="43"/>
      <x:c r="Y10" s="43"/>
      <x:c r="Z10" s="43"/>
    </x:row>
    <x:row r="11">
      <x:c r="A11" s="45" t="str">
        <x:v>Discussion — asymmetry</x:v>
      </x:c>
      <x:c r="B11" s="45" t="str">
        <x:v>English</x:v>
      </x:c>
      <x:c r="C11" s="45" t="str">
        <x:v>The final evidence pattern is strongly asymmetric across interfaces: direct documentation rates were 93.8% for I12, 41.7% for I23, 22.9% for I3M, and 4.2% for IM1. This asymmetry motivates interface-level diagnosis rather than a compensatory global score, but it does not establish that the interfaces are necessary, sufficient, or causally validated determinants of sustained integration.</x:v>
      </x:c>
      <x:c r="D11" s="45" t="str">
        <x:v>Discussion/contribution paragraph</x:v>
      </x:c>
      <x:c r="E11" s="45" t="str">
        <x:v>D rates 93.8%, 41.7%, 22.9%, 4.2%</x:v>
      </x:c>
      <x:c r="F11" s="45" t="str">
        <x:v>Keep conceptual contribution distinct from causal validation.</x:v>
      </x:c>
      <x:c r="G11" s="43"/>
      <x:c r="H11" s="43"/>
      <x:c r="I11" s="43"/>
      <x:c r="J11" s="43"/>
      <x:c r="K11" s="43"/>
      <x:c r="L11" s="43"/>
      <x:c r="M11" s="43"/>
      <x:c r="N11" s="43"/>
      <x:c r="O11" s="43"/>
      <x:c r="P11" s="43"/>
      <x:c r="Q11" s="43"/>
      <x:c r="R11" s="43"/>
      <x:c r="S11" s="43"/>
      <x:c r="T11" s="43"/>
      <x:c r="U11" s="43"/>
      <x:c r="V11" s="43"/>
      <x:c r="W11" s="43"/>
      <x:c r="X11" s="43"/>
      <x:c r="Y11" s="43"/>
      <x:c r="Z11" s="43"/>
    </x:row>
    <x:row r="12">
      <x:c r="A12" s="43"/>
      <x:c r="B12" s="43"/>
      <x:c r="C12" s="43"/>
      <x:c r="D12" s="43"/>
      <x:c r="E12" s="43"/>
      <x:c r="F12" s="43"/>
      <x:c r="G12" s="43"/>
      <x:c r="H12" s="43"/>
      <x:c r="I12" s="43"/>
      <x:c r="J12" s="43"/>
      <x:c r="K12" s="43"/>
      <x:c r="L12" s="43"/>
      <x:c r="M12" s="43"/>
      <x:c r="N12" s="43"/>
      <x:c r="O12" s="43"/>
      <x:c r="P12" s="43"/>
      <x:c r="Q12" s="43"/>
      <x:c r="R12" s="43"/>
      <x:c r="S12" s="43"/>
      <x:c r="T12" s="43"/>
      <x:c r="U12" s="43"/>
      <x:c r="V12" s="43"/>
      <x:c r="W12" s="43"/>
      <x:c r="X12" s="43"/>
      <x:c r="Y12" s="43"/>
      <x:c r="Z12" s="43"/>
    </x:row>
    <x:row r="13">
      <x:c r="A13" s="43"/>
      <x:c r="B13" s="43"/>
      <x:c r="C13" s="43"/>
      <x:c r="D13" s="43"/>
      <x:c r="E13" s="43"/>
      <x:c r="F13" s="43"/>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34" hidden="0" customWidth="1"/>
    <x:col min="3" max="3" width="100" hidden="0" customWidth="1"/>
    <x:col min="4" max="4" width="45" hidden="0" customWidth="1"/>
    <x:col min="5" max="5" width="80" hidden="0" customWidth="1"/>
    <x:col min="6" max="6" width="14" hidden="0" customWidth="1"/>
  </x:cols>
  <x:sheetData>
    <x:row r="1">
      <x:c r="A1" s="42" t="str">
        <x:v>Agro-Cycle A3M manuscript update map after FINAL v1.3 synthesis</x:v>
      </x:c>
      <x:c r="B1" s="42"/>
      <x:c r="C1" s="42"/>
      <x:c r="D1" s="42"/>
      <x:c r="E1" s="42"/>
      <x:c r="F1" s="42"/>
      <x:c r="G1" s="43"/>
      <x:c r="H1" s="43"/>
      <x:c r="I1" s="43"/>
      <x:c r="J1" s="43"/>
      <x:c r="K1" s="43"/>
      <x:c r="L1" s="43"/>
      <x:c r="M1" s="43"/>
      <x:c r="N1" s="43"/>
      <x:c r="O1" s="43"/>
      <x:c r="P1" s="43"/>
      <x:c r="Q1" s="43"/>
      <x:c r="R1" s="43"/>
      <x:c r="S1" s="43"/>
      <x:c r="T1" s="43"/>
      <x:c r="U1" s="43"/>
      <x:c r="V1" s="43"/>
      <x:c r="W1" s="43"/>
      <x:c r="X1" s="43"/>
      <x:c r="Y1" s="43"/>
      <x:c r="Z1" s="43"/>
    </x:row>
    <x:row r="2">
      <x:c r="A2" s="43"/>
      <x:c r="B2" s="43"/>
      <x:c r="C2" s="43"/>
      <x:c r="D2" s="43"/>
      <x:c r="E2" s="43"/>
      <x:c r="F2" s="43"/>
      <x:c r="G2" s="43"/>
      <x:c r="H2" s="43"/>
      <x:c r="I2" s="43"/>
      <x:c r="J2" s="43"/>
      <x:c r="K2" s="43"/>
      <x:c r="L2" s="43"/>
      <x:c r="M2" s="43"/>
      <x:c r="N2" s="43"/>
      <x:c r="O2" s="43"/>
      <x:c r="P2" s="43"/>
      <x:c r="Q2" s="43"/>
      <x:c r="R2" s="43"/>
      <x:c r="S2" s="43"/>
      <x:c r="T2" s="43"/>
      <x:c r="U2" s="43"/>
      <x:c r="V2" s="43"/>
      <x:c r="W2" s="43"/>
      <x:c r="X2" s="43"/>
      <x:c r="Y2" s="43"/>
      <x:c r="Z2" s="43"/>
    </x:row>
    <x:row r="3">
      <x:c r="A3" s="46" t="str">
        <x:v>Priority</x:v>
      </x:c>
      <x:c r="B3" s="46" t="str">
        <x:v>Paper element</x:v>
      </x:c>
      <x:c r="C3" s="46" t="str">
        <x:v>Required action</x:v>
      </x:c>
      <x:c r="D3" s="46" t="str">
        <x:v>Evidence source</x:v>
      </x:c>
      <x:c r="E3" s="46" t="str">
        <x:v>Recommended outcome</x:v>
      </x:c>
      <x:c r="F3" s="46" t="str">
        <x:v>Status</x:v>
      </x:c>
      <x:c r="G3" s="43"/>
      <x:c r="H3" s="43"/>
      <x:c r="I3" s="43"/>
      <x:c r="J3" s="43"/>
      <x:c r="K3" s="43"/>
      <x:c r="L3" s="43"/>
      <x:c r="M3" s="43"/>
      <x:c r="N3" s="43"/>
      <x:c r="O3" s="43"/>
      <x:c r="P3" s="43"/>
      <x:c r="Q3" s="43"/>
      <x:c r="R3" s="43"/>
      <x:c r="S3" s="43"/>
      <x:c r="T3" s="43"/>
      <x:c r="U3" s="43"/>
      <x:c r="V3" s="43"/>
      <x:c r="W3" s="43"/>
      <x:c r="X3" s="43"/>
      <x:c r="Y3" s="43"/>
      <x:c r="Z3" s="43"/>
    </x:row>
    <x:row r="4">
      <x:c r="A4" s="45" t="n">
        <x:v>1</x:v>
      </x:c>
      <x:c r="B4" s="45" t="str">
        <x:v>Methods — evidence development</x:v>
      </x:c>
      <x:c r="C4" s="45" t="str">
        <x:v>Retain S1 and S2 as complementary structured searches. Update the Codebook history through v1.3 and distinguish calibration, pilot, confirmatory audits, and targeted third-reviewer challenge.</x:v>
      </x:c>
      <x:c r="D4" s="45" t="str">
        <x:v>README_FINAL; Reliability_history</x:v>
      </x:c>
      <x:c r="E4" s="45" t="str">
        <x:v>Transparent reproducibility narrative without overstating a v1.3 κ estimate.</x:v>
      </x:c>
      <x:c r="F4" s="45" t="str">
        <x:v>READY</x:v>
      </x:c>
      <x:c r="G4" s="43"/>
      <x:c r="H4" s="43"/>
      <x:c r="I4" s="43"/>
      <x:c r="J4" s="43"/>
      <x:c r="K4" s="43"/>
      <x:c r="L4" s="43"/>
      <x:c r="M4" s="43"/>
      <x:c r="N4" s="43"/>
      <x:c r="O4" s="43"/>
      <x:c r="P4" s="43"/>
      <x:c r="Q4" s="43"/>
      <x:c r="R4" s="43"/>
      <x:c r="S4" s="43"/>
      <x:c r="T4" s="43"/>
      <x:c r="U4" s="43"/>
      <x:c r="V4" s="43"/>
      <x:c r="W4" s="43"/>
      <x:c r="X4" s="43"/>
      <x:c r="Y4" s="43"/>
      <x:c r="Z4" s="43"/>
    </x:row>
    <x:row r="5">
      <x:c r="A5" s="45" t="n">
        <x:v>2</x:v>
      </x:c>
      <x:c r="B5" s="45" t="str">
        <x:v>Results — Table II</x:v>
      </x:c>
      <x:c r="C5" s="45" t="str">
        <x:v>Replace all provisional/v1.1 counts with the final v1.3 S1/S2/integrated distributions.</x:v>
      </x:c>
      <x:c r="D5" s="45" t="str">
        <x:v>Table_II_final_v1.3</x:v>
      </x:c>
      <x:c r="E5" s="45" t="str">
        <x:v>Final table reports 45/3/0; 20/9/19; 11/37/0; 2/8/38 integrated.</x:v>
      </x:c>
      <x:c r="F5" s="45" t="str">
        <x:v>READY</x:v>
      </x:c>
      <x:c r="G5" s="43"/>
      <x:c r="H5" s="43"/>
      <x:c r="I5" s="43"/>
      <x:c r="J5" s="43"/>
      <x:c r="K5" s="43"/>
      <x:c r="L5" s="43"/>
      <x:c r="M5" s="43"/>
      <x:c r="N5" s="43"/>
      <x:c r="O5" s="43"/>
      <x:c r="P5" s="43"/>
      <x:c r="Q5" s="43"/>
      <x:c r="R5" s="43"/>
      <x:c r="S5" s="43"/>
      <x:c r="T5" s="43"/>
      <x:c r="U5" s="43"/>
      <x:c r="V5" s="43"/>
      <x:c r="W5" s="43"/>
      <x:c r="X5" s="43"/>
      <x:c r="Y5" s="43"/>
      <x:c r="Z5" s="43"/>
    </x:row>
    <x:row r="6">
      <x:c r="A6" s="45" t="n">
        <x:v>3</x:v>
      </x:c>
      <x:c r="B6" s="45" t="str">
        <x:v>Results — synthesis narrative</x:v>
      </x:c>
      <x:c r="C6" s="45" t="str">
        <x:v>Rewrite findings around the final interface asymmetry and the new I23 boundary.</x:v>
      </x:c>
      <x:c r="D6" s="45" t="str">
        <x:v>Manuscript_results; Claims_v1.3</x:v>
      </x:c>
      <x:c r="E6" s="45" t="str">
        <x:v>Evidence→pattern→gap narrative using final counts only.</x:v>
      </x:c>
      <x:c r="F6" s="45" t="str">
        <x:v>READY</x:v>
      </x:c>
      <x:c r="G6" s="43"/>
      <x:c r="H6" s="43"/>
      <x:c r="I6" s="43"/>
      <x:c r="J6" s="43"/>
      <x:c r="K6" s="43"/>
      <x:c r="L6" s="43"/>
      <x:c r="M6" s="43"/>
      <x:c r="N6" s="43"/>
      <x:c r="O6" s="43"/>
      <x:c r="P6" s="43"/>
      <x:c r="Q6" s="43"/>
      <x:c r="R6" s="43"/>
      <x:c r="S6" s="43"/>
      <x:c r="T6" s="43"/>
      <x:c r="U6" s="43"/>
      <x:c r="V6" s="43"/>
      <x:c r="W6" s="43"/>
      <x:c r="X6" s="43"/>
      <x:c r="Y6" s="43"/>
      <x:c r="Z6" s="43"/>
    </x:row>
    <x:row r="7">
      <x:c r="A7" s="45" t="n">
        <x:v>4</x:v>
      </x:c>
      <x:c r="B7" s="45" t="str">
        <x:v>Methods/Results — Codebook impact</x:v>
      </x:c>
      <x:c r="C7" s="45" t="str">
        <x:v>Report 35/192 v1.1→v1.3 changes and show that they were confined to I23/IM1.</x:v>
      </x:c>
      <x:c r="D7" s="45" t="str">
        <x:v>Change_analysis</x:v>
      </x:c>
      <x:c r="E7" s="45" t="str">
        <x:v>Demonstrate targeted boundary refinement rather than wholesale recoding drift.</x:v>
      </x:c>
      <x:c r="F7" s="45" t="str">
        <x:v>READY</x:v>
      </x:c>
      <x:c r="G7" s="43"/>
      <x:c r="H7" s="43"/>
      <x:c r="I7" s="43"/>
      <x:c r="J7" s="43"/>
      <x:c r="K7" s="43"/>
      <x:c r="L7" s="43"/>
      <x:c r="M7" s="43"/>
      <x:c r="N7" s="43"/>
      <x:c r="O7" s="43"/>
      <x:c r="P7" s="43"/>
      <x:c r="Q7" s="43"/>
      <x:c r="R7" s="43"/>
      <x:c r="S7" s="43"/>
      <x:c r="T7" s="43"/>
      <x:c r="U7" s="43"/>
      <x:c r="V7" s="43"/>
      <x:c r="W7" s="43"/>
      <x:c r="X7" s="43"/>
      <x:c r="Y7" s="43"/>
      <x:c r="Z7" s="43"/>
    </x:row>
    <x:row r="8">
      <x:c r="A8" s="45" t="n">
        <x:v>5</x:v>
      </x:c>
      <x:c r="B8" s="45" t="str">
        <x:v>Discussion — I23</x:v>
      </x:c>
      <x:c r="C8" s="45" t="str">
        <x:v>Explain why generic technology-class mappings are ND and why bounded requirement→specific capability anchors are required for P.</x:v>
      </x:c>
      <x:c r="D8" s="45" t="str">
        <x:v>Claims_v1.3; Change_analysis</x:v>
      </x:c>
      <x:c r="E8" s="45" t="str">
        <x:v>Make the main v1.3 methodological clarification explicit.</x:v>
      </x:c>
      <x:c r="F8" s="45" t="str">
        <x:v>READY</x:v>
      </x:c>
      <x:c r="G8" s="43"/>
      <x:c r="H8" s="43"/>
      <x:c r="I8" s="43"/>
      <x:c r="J8" s="43"/>
      <x:c r="K8" s="43"/>
      <x:c r="L8" s="43"/>
      <x:c r="M8" s="43"/>
      <x:c r="N8" s="43"/>
      <x:c r="O8" s="43"/>
      <x:c r="P8" s="43"/>
      <x:c r="Q8" s="43"/>
      <x:c r="R8" s="43"/>
      <x:c r="S8" s="43"/>
      <x:c r="T8" s="43"/>
      <x:c r="U8" s="43"/>
      <x:c r="V8" s="43"/>
      <x:c r="W8" s="43"/>
      <x:c r="X8" s="43"/>
      <x:c r="Y8" s="43"/>
      <x:c r="Z8" s="43"/>
    </x:row>
    <x:row r="9">
      <x:c r="A9" s="45" t="n">
        <x:v>6</x:v>
      </x:c>
      <x:c r="B9" s="45" t="str">
        <x:v>Discussion — IM1</x:v>
      </x:c>
      <x:c r="C9" s="45" t="str">
        <x:v>Frame 2D/8P/38ND as a documentation gap; distinguish operational learning from routine control, recovery and research-artifact iteration.</x:v>
      </x:c>
      <x:c r="D9" s="45" t="str">
        <x:v>Claims_v1.3; Manuscript_results</x:v>
      </x:c>
      <x:c r="E9" s="45" t="str">
        <x:v>Avoid causal or absence claims.</x:v>
      </x:c>
      <x:c r="F9" s="45" t="str">
        <x:v>READY</x:v>
      </x:c>
      <x:c r="G9" s="43"/>
      <x:c r="H9" s="43"/>
      <x:c r="I9" s="43"/>
      <x:c r="J9" s="43"/>
      <x:c r="K9" s="43"/>
      <x:c r="L9" s="43"/>
      <x:c r="M9" s="43"/>
      <x:c r="N9" s="43"/>
      <x:c r="O9" s="43"/>
      <x:c r="P9" s="43"/>
      <x:c r="Q9" s="43"/>
      <x:c r="R9" s="43"/>
      <x:c r="S9" s="43"/>
      <x:c r="T9" s="43"/>
      <x:c r="U9" s="43"/>
      <x:c r="V9" s="43"/>
      <x:c r="W9" s="43"/>
      <x:c r="X9" s="43"/>
      <x:c r="Y9" s="43"/>
      <x:c r="Z9" s="43"/>
    </x:row>
    <x:row r="10">
      <x:c r="A10" s="45" t="n">
        <x:v>7</x:v>
      </x:c>
      <x:c r="B10" s="45" t="str">
        <x:v>Discussion — I3M</x:v>
      </x:c>
      <x:c r="C10" s="45" t="str">
        <x:v>Keep the 11D/37P/0ND result and emphasize that support mentions alone do not close responsibility+continuity.</x:v>
      </x:c>
      <x:c r="D10" s="45" t="str">
        <x:v>Claims_v1.3; Table_II_final_v1.3</x:v>
      </x:c>
      <x:c r="E10" s="45" t="str">
        <x:v>Preserve supportability distinction.</x:v>
      </x:c>
      <x:c r="F10" s="45" t="str">
        <x:v>READY</x:v>
      </x:c>
      <x:c r="G10" s="43"/>
      <x:c r="H10" s="43"/>
      <x:c r="I10" s="43"/>
      <x:c r="J10" s="43"/>
      <x:c r="K10" s="43"/>
      <x:c r="L10" s="43"/>
      <x:c r="M10" s="43"/>
      <x:c r="N10" s="43"/>
      <x:c r="O10" s="43"/>
      <x:c r="P10" s="43"/>
      <x:c r="Q10" s="43"/>
      <x:c r="R10" s="43"/>
      <x:c r="S10" s="43"/>
      <x:c r="T10" s="43"/>
      <x:c r="U10" s="43"/>
      <x:c r="V10" s="43"/>
      <x:c r="W10" s="43"/>
      <x:c r="X10" s="43"/>
      <x:c r="Y10" s="43"/>
      <x:c r="Z10" s="43"/>
    </x:row>
    <x:row r="11">
      <x:c r="A11" s="45" t="n">
        <x:v>8</x:v>
      </x:c>
      <x:c r="B11" s="45" t="str">
        <x:v>Framework derivation</x:v>
      </x:c>
      <x:c r="C11" s="45" t="str">
        <x:v>Use the final evidence pattern as rationale for interface-specific diagnosis and non-compensation, not as empirical validation of A3M.</x:v>
      </x:c>
      <x:c r="D11" s="45" t="str">
        <x:v>Claims_v1.3</x:v>
      </x:c>
      <x:c r="E11" s="45" t="str">
        <x:v>Non-circular conceptual contribution.</x:v>
      </x:c>
      <x:c r="F11" s="45" t="str">
        <x:v>READY</x:v>
      </x:c>
      <x:c r="G11" s="43"/>
      <x:c r="H11" s="43"/>
      <x:c r="I11" s="43"/>
      <x:c r="J11" s="43"/>
      <x:c r="K11" s="43"/>
      <x:c r="L11" s="43"/>
      <x:c r="M11" s="43"/>
      <x:c r="N11" s="43"/>
      <x:c r="O11" s="43"/>
      <x:c r="P11" s="43"/>
      <x:c r="Q11" s="43"/>
      <x:c r="R11" s="43"/>
      <x:c r="S11" s="43"/>
      <x:c r="T11" s="43"/>
      <x:c r="U11" s="43"/>
      <x:c r="V11" s="43"/>
      <x:c r="W11" s="43"/>
      <x:c r="X11" s="43"/>
      <x:c r="Y11" s="43"/>
      <x:c r="Z11" s="43"/>
    </x:row>
    <x:row r="12">
      <x:c r="A12" s="45" t="n">
        <x:v>9</x:v>
      </x:c>
      <x:c r="B12" s="45" t="str">
        <x:v>Limitations</x:v>
      </x:c>
      <x:c r="C12" s="45" t="str">
        <x:v>State explicitly that counts are descriptive of selected structured-search corpora and are not prevalence estimates or meta-analytic weights.</x:v>
      </x:c>
      <x:c r="D12" s="45" t="str">
        <x:v>README_FINAL; Claims_v1.3</x:v>
      </x:c>
      <x:c r="E12" s="45" t="str">
        <x:v>Protect against reviewer overinterpretation.</x:v>
      </x:c>
      <x:c r="F12" s="45" t="str">
        <x:v>READY</x:v>
      </x:c>
      <x:c r="G12" s="43"/>
      <x:c r="H12" s="43"/>
      <x:c r="I12" s="43"/>
      <x:c r="J12" s="43"/>
      <x:c r="K12" s="43"/>
      <x:c r="L12" s="43"/>
      <x:c r="M12" s="43"/>
      <x:c r="N12" s="43"/>
      <x:c r="O12" s="43"/>
      <x:c r="P12" s="43"/>
      <x:c r="Q12" s="43"/>
      <x:c r="R12" s="43"/>
      <x:c r="S12" s="43"/>
      <x:c r="T12" s="43"/>
      <x:c r="U12" s="43"/>
      <x:c r="V12" s="43"/>
      <x:c r="W12" s="43"/>
      <x:c r="X12" s="43"/>
      <x:c r="Y12" s="43"/>
      <x:c r="Z12" s="43"/>
    </x:row>
    <x:row r="13">
      <x:c r="A13" s="45" t="n">
        <x:v>10</x:v>
      </x:c>
      <x:c r="B13" s="45" t="str">
        <x:v>Tables/cases</x:v>
      </x:c>
      <x:c r="C13" s="45" t="str">
        <x:v>Re-audit any case-specific SAT/GAP/UNC/NA diagnoses separately from D/P/ND; D does not equal SAT.</x:v>
      </x:c>
      <x:c r="D13" s="45" t="str">
        <x:v>README_FINAL; source-level master</x:v>
      </x:c>
      <x:c r="E13" s="45" t="str">
        <x:v>Keep diagnostic state and publication-traceability coding separate.</x:v>
      </x:c>
      <x:c r="F13" s="45" t="str">
        <x:v>READY</x:v>
      </x:c>
      <x:c r="G13" s="43"/>
      <x:c r="H13" s="43"/>
      <x:c r="I13" s="43"/>
      <x:c r="J13" s="43"/>
      <x:c r="K13" s="43"/>
      <x:c r="L13" s="43"/>
      <x:c r="M13" s="43"/>
      <x:c r="N13" s="43"/>
      <x:c r="O13" s="43"/>
      <x:c r="P13" s="43"/>
      <x:c r="Q13" s="43"/>
      <x:c r="R13" s="43"/>
      <x:c r="S13" s="43"/>
      <x:c r="T13" s="43"/>
      <x:c r="U13" s="43"/>
      <x:c r="V13" s="43"/>
      <x:c r="W13" s="43"/>
      <x:c r="X13" s="43"/>
      <x:c r="Y13" s="43"/>
      <x:c r="Z13" s="43"/>
    </x:row>
    <x:row r="14">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row>
    <x:row r="15">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row>
    <x:row r="16">
      <x:c r="A16" s="43"/>
      <x:c r="B16" s="43"/>
      <x:c r="C16" s="43"/>
      <x:c r="D16" s="43"/>
      <x:c r="E16" s="43"/>
      <x:c r="F16" s="43"/>
      <x:c r="G16" s="43"/>
      <x:c r="H16" s="43"/>
      <x:c r="I16" s="43"/>
      <x:c r="J16" s="43"/>
      <x:c r="K16" s="43"/>
      <x:c r="L16" s="43"/>
      <x:c r="M16" s="43"/>
      <x:c r="N16" s="43"/>
      <x:c r="O16" s="43"/>
      <x:c r="P16" s="43"/>
      <x:c r="Q16" s="43"/>
      <x:c r="R16" s="43"/>
      <x:c r="S16" s="43"/>
      <x:c r="T16" s="43"/>
      <x:c r="U16" s="43"/>
      <x:c r="V16" s="43"/>
      <x:c r="W16" s="43"/>
      <x:c r="X16" s="43"/>
      <x:c r="Y16" s="43"/>
      <x:c r="Z16" s="43"/>
    </x:row>
    <x:row r="17">
      <x:c r="A17" s="43"/>
      <x:c r="B17" s="43"/>
      <x:c r="C17" s="43"/>
      <x:c r="D17" s="43"/>
      <x:c r="E17" s="43"/>
      <x:c r="F17" s="43"/>
      <x:c r="G17" s="43"/>
      <x:c r="H17" s="43"/>
      <x:c r="I17" s="43"/>
      <x:c r="J17" s="43"/>
      <x:c r="K17" s="43"/>
      <x:c r="L17" s="43"/>
      <x:c r="M17" s="43"/>
      <x:c r="N17" s="43"/>
      <x:c r="O17" s="43"/>
      <x:c r="P17" s="43"/>
      <x:c r="Q17" s="43"/>
      <x:c r="R17" s="43"/>
      <x:c r="S17" s="43"/>
      <x:c r="T17" s="43"/>
      <x:c r="U17" s="43"/>
      <x:c r="V17" s="43"/>
      <x:c r="W17" s="43"/>
      <x:c r="X17" s="43"/>
      <x:c r="Y17" s="43"/>
      <x:c r="Z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sheetData>
  <x:mergeCells>
    <x:mergeCell ref="A1:F1"/>
  </x:mergeCells>
  <x:pageMargins left="0.7" right="0.7" top="0.75" bottom="0.75" header="0.3" footer="0.3"/>
</x:worksheet>
</file>